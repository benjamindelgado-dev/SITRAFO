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usuario\Documents\SITRAFO\Fase 2\Evidencias Proyecto\Evidencias de documentación\2. Metodología Scrum\SPRINTS\"/>
    </mc:Choice>
  </mc:AlternateContent>
  <xr:revisionPtr revIDLastSave="0" documentId="13_ncr:1_{EE4A88F6-F8AD-448B-90F8-C60C653CBA23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Burndow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7" i="1" l="1"/>
  <c r="F27" i="1"/>
  <c r="B27" i="1"/>
  <c r="L23" i="1"/>
  <c r="K23" i="1"/>
  <c r="J23" i="1"/>
  <c r="I23" i="1"/>
  <c r="H23" i="1"/>
  <c r="G23" i="1"/>
  <c r="F23" i="1"/>
  <c r="E23" i="1"/>
  <c r="D23" i="1"/>
  <c r="C23" i="1"/>
  <c r="B23" i="1"/>
  <c r="L27" i="1" s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23" i="1" l="1"/>
  <c r="E27" i="1"/>
  <c r="I27" i="1"/>
  <c r="C27" i="1"/>
  <c r="K27" i="1"/>
  <c r="B26" i="1"/>
  <c r="C26" i="1" s="1"/>
  <c r="D26" i="1" s="1"/>
  <c r="E26" i="1" s="1"/>
  <c r="F26" i="1" s="1"/>
  <c r="G26" i="1" s="1"/>
  <c r="H26" i="1" s="1"/>
  <c r="I26" i="1" s="1"/>
  <c r="J26" i="1" s="1"/>
  <c r="K26" i="1" s="1"/>
  <c r="L26" i="1" s="1"/>
  <c r="G27" i="1"/>
  <c r="D27" i="1"/>
  <c r="H27" i="1"/>
</calcChain>
</file>

<file path=xl/sharedStrings.xml><?xml version="1.0" encoding="utf-8"?>
<sst xmlns="http://schemas.openxmlformats.org/spreadsheetml/2006/main" count="48" uniqueCount="42">
  <si>
    <t>SITRAFO — Control del Sprint 3 (sprint de cierre de la Fase 2)</t>
  </si>
  <si>
    <t>Plantilla lista para el Sprint 3: el Scrum Master registra las horas consumidas en la zona verde después de cada daily y escribe la fecha de cada día en la fila 'Día'.</t>
  </si>
  <si>
    <t>Tarea</t>
  </si>
  <si>
    <t>Horas estimadas</t>
  </si>
  <si>
    <t>Día 1</t>
  </si>
  <si>
    <t>Día 2</t>
  </si>
  <si>
    <t>Día 3</t>
  </si>
  <si>
    <t>Día 4</t>
  </si>
  <si>
    <t>Día 5</t>
  </si>
  <si>
    <t>Día 6</t>
  </si>
  <si>
    <t>Día 7</t>
  </si>
  <si>
    <t>Día 8</t>
  </si>
  <si>
    <t>Día 9</t>
  </si>
  <si>
    <t>Día 10</t>
  </si>
  <si>
    <t>Total</t>
  </si>
  <si>
    <t>S3-01 Informe de verificación en producción PRU-01 (saldo del Sprint 2)</t>
  </si>
  <si>
    <t>S3-02 Subir al repositorio el informe QA-01 (réplica local)</t>
  </si>
  <si>
    <t>S3-03 Plan de pruebas consolidado: unitarias, integración, rendimiento y seguridad</t>
  </si>
  <si>
    <t>S3-04 Optimizar tiempos de respuesta y repetir la prueba de carga</t>
  </si>
  <si>
    <t>S3-05 Visión del producto (Product Vision)</t>
  </si>
  <si>
    <t>S3-06 Manual técnico y de despliegue (Docker, variables de entorno, Render)</t>
  </si>
  <si>
    <t>S3-07 README de la raíz con instrucciones reales de ejecución</t>
  </si>
  <si>
    <t>S3-08 Documentar las APIs propias del sistema</t>
  </si>
  <si>
    <t>S3-09 Informe final 2.6 con sección de innovación</t>
  </si>
  <si>
    <t>S3-10 Registro de dailies (tres por semana) y actualización del burndown</t>
  </si>
  <si>
    <t>S3-11 Sprint Review y retrospectiva del Sprint 3</t>
  </si>
  <si>
    <t>S3-12 Presentación final de la Fase 2</t>
  </si>
  <si>
    <t>S3-13 Corregir las 3 alertas medias de OWASP ZAP</t>
  </si>
  <si>
    <t>S3-14 API de seguimiento de pedidos: documentación, demo y defensa</t>
  </si>
  <si>
    <t>S3-15 API del cotizador: pruebas en Docker y en producción, documentación, demo y defensa</t>
  </si>
  <si>
    <t>S3-16 API de disponibilidad de materiales: historia (Camila), desarrollo (Benjamín) y pruebas (Milko)</t>
  </si>
  <si>
    <t>S3-17 Actualizar ERS, CU, SEC, ARQ, MOC, EVI, PRU, MAN y backlog con las APIs propias (entrega 22-oct)</t>
  </si>
  <si>
    <t>S3-18 Tablero Trello e invitación recurrente de los dailies al docente</t>
  </si>
  <si>
    <t>Día</t>
  </si>
  <si>
    <t>Inicio</t>
  </si>
  <si>
    <t>Horas reales de producto por realizar</t>
  </si>
  <si>
    <t>Horas estimadas de producto por realizar</t>
  </si>
  <si>
    <t>Día 1 ( 16 oct)</t>
  </si>
  <si>
    <t>Día 2 (17 oct)</t>
  </si>
  <si>
    <t>Día 3 (19 oct)</t>
  </si>
  <si>
    <t>Día 4 (20 oct)</t>
  </si>
  <si>
    <t>Día 5 (21 oct)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</si>
</sst>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name val="Calibri"/>
    </font>
    <font>
      <i/>
      <sz val="10"/>
      <name val="Calibri"/>
    </font>
    <font>
      <b/>
      <sz val="11"/>
      <name val="Calibri"/>
    </font>
    <font>
      <sz val="10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/>
    <xf numFmtId="0" fontId="4" fillId="3" borderId="1" xfId="0" applyFont="1" applyFill="1" applyBorder="1"/>
    <xf numFmtId="0" fontId="5" fillId="0" borderId="1" xfId="0" applyFont="1" applyBorder="1"/>
    <xf numFmtId="0" fontId="5" fillId="2" borderId="1" xfId="0" applyFont="1" applyFill="1" applyBorder="1"/>
    <xf numFmtId="0" fontId="0" fillId="0" borderId="1" xfId="0" applyBorder="1"/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L"/>
              <a:t>BurnDown Trabajo Pendiente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Burndown!$A$26</c:f>
              <c:strCache>
                <c:ptCount val="1"/>
                <c:pt idx="0">
                  <c:v>Horas reales de producto por realizar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Burndown!$B$25:$L$25</c:f>
              <c:strCache>
                <c:ptCount val="11"/>
                <c:pt idx="0">
                  <c:v>Inicio</c:v>
                </c:pt>
                <c:pt idx="1">
                  <c:v>Día 1</c:v>
                </c:pt>
                <c:pt idx="2">
                  <c:v>Día 2</c:v>
                </c:pt>
                <c:pt idx="3">
                  <c:v>Día 3</c:v>
                </c:pt>
                <c:pt idx="4">
                  <c:v>Día 4</c:v>
                </c:pt>
                <c:pt idx="5">
                  <c:v>Día 5</c:v>
                </c:pt>
                <c:pt idx="6">
                  <c:v>Día 6</c:v>
                </c:pt>
                <c:pt idx="7">
                  <c:v>Día 7</c:v>
                </c:pt>
                <c:pt idx="8">
                  <c:v>Día 8</c:v>
                </c:pt>
                <c:pt idx="9">
                  <c:v>Día 9</c:v>
                </c:pt>
                <c:pt idx="10">
                  <c:v>Día 10</c:v>
                </c:pt>
              </c:strCache>
            </c:strRef>
          </c:cat>
          <c:val>
            <c:numRef>
              <c:f>Burndown!$B$26:$L$26</c:f>
              <c:numCache>
                <c:formatCode>General</c:formatCode>
                <c:ptCount val="11"/>
                <c:pt idx="0">
                  <c:v>105</c:v>
                </c:pt>
                <c:pt idx="1">
                  <c:v>95</c:v>
                </c:pt>
                <c:pt idx="2">
                  <c:v>93</c:v>
                </c:pt>
                <c:pt idx="3">
                  <c:v>79</c:v>
                </c:pt>
                <c:pt idx="4">
                  <c:v>64</c:v>
                </c:pt>
                <c:pt idx="5">
                  <c:v>64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9D-4DFD-B7C3-41F2364AB274}"/>
            </c:ext>
          </c:extLst>
        </c:ser>
        <c:ser>
          <c:idx val="1"/>
          <c:order val="1"/>
          <c:tx>
            <c:strRef>
              <c:f>Burndown!$A$27</c:f>
              <c:strCache>
                <c:ptCount val="1"/>
                <c:pt idx="0">
                  <c:v>Horas estimadas de producto por realizar</c:v>
                </c:pt>
              </c:strCache>
            </c:strRef>
          </c:tx>
          <c:spPr>
            <a:ln>
              <a:prstDash val="dash"/>
            </a:ln>
          </c:spPr>
          <c:marker>
            <c:symbol val="none"/>
          </c:marker>
          <c:cat>
            <c:strRef>
              <c:f>Burndown!$B$25:$L$25</c:f>
              <c:strCache>
                <c:ptCount val="11"/>
                <c:pt idx="0">
                  <c:v>Inicio</c:v>
                </c:pt>
                <c:pt idx="1">
                  <c:v>Día 1</c:v>
                </c:pt>
                <c:pt idx="2">
                  <c:v>Día 2</c:v>
                </c:pt>
                <c:pt idx="3">
                  <c:v>Día 3</c:v>
                </c:pt>
                <c:pt idx="4">
                  <c:v>Día 4</c:v>
                </c:pt>
                <c:pt idx="5">
                  <c:v>Día 5</c:v>
                </c:pt>
                <c:pt idx="6">
                  <c:v>Día 6</c:v>
                </c:pt>
                <c:pt idx="7">
                  <c:v>Día 7</c:v>
                </c:pt>
                <c:pt idx="8">
                  <c:v>Día 8</c:v>
                </c:pt>
                <c:pt idx="9">
                  <c:v>Día 9</c:v>
                </c:pt>
                <c:pt idx="10">
                  <c:v>Día 10</c:v>
                </c:pt>
              </c:strCache>
            </c:strRef>
          </c:cat>
          <c:val>
            <c:numRef>
              <c:f>Burndown!$B$27:$L$27</c:f>
              <c:numCache>
                <c:formatCode>General</c:formatCode>
                <c:ptCount val="11"/>
                <c:pt idx="0">
                  <c:v>105</c:v>
                </c:pt>
                <c:pt idx="1">
                  <c:v>94.5</c:v>
                </c:pt>
                <c:pt idx="2">
                  <c:v>84</c:v>
                </c:pt>
                <c:pt idx="3">
                  <c:v>73.5</c:v>
                </c:pt>
                <c:pt idx="4">
                  <c:v>63</c:v>
                </c:pt>
                <c:pt idx="5">
                  <c:v>52.5</c:v>
                </c:pt>
                <c:pt idx="6">
                  <c:v>42</c:v>
                </c:pt>
                <c:pt idx="7">
                  <c:v>31.5</c:v>
                </c:pt>
                <c:pt idx="8">
                  <c:v>21</c:v>
                </c:pt>
                <c:pt idx="9">
                  <c:v>10.5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9D-4DFD-B7C3-41F2364AB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L"/>
                  <a:t>Día del sprint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L"/>
                  <a:t>Horas restantes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29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abSelected="1" zoomScale="50" zoomScaleNormal="50" workbookViewId="0">
      <pane xSplit="2" ySplit="4" topLeftCell="C18" activePane="bottomRight" state="frozen"/>
      <selection pane="topRight"/>
      <selection pane="bottomLeft"/>
      <selection pane="bottomRight" activeCell="I31" sqref="I31"/>
    </sheetView>
  </sheetViews>
  <sheetFormatPr baseColWidth="10" defaultColWidth="8.7265625" defaultRowHeight="14.5" x14ac:dyDescent="0.35"/>
  <cols>
    <col min="1" max="1" width="58" customWidth="1"/>
    <col min="2" max="2" width="11" customWidth="1"/>
    <col min="3" max="5" width="9" customWidth="1"/>
    <col min="6" max="6" width="9.90625" bestFit="1" customWidth="1"/>
    <col min="7" max="13" width="9" customWidth="1"/>
  </cols>
  <sheetData>
    <row r="1" spans="1:13" ht="21" x14ac:dyDescent="0.5">
      <c r="A1" s="1" t="s">
        <v>0</v>
      </c>
    </row>
    <row r="2" spans="1:13" ht="45" customHeight="1" x14ac:dyDescent="0.35">
      <c r="A2" s="9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4" spans="1:13" ht="30" customHeight="1" x14ac:dyDescent="0.35">
      <c r="A4" s="2" t="s">
        <v>2</v>
      </c>
      <c r="B4" s="2" t="s">
        <v>3</v>
      </c>
      <c r="C4" s="2" t="s">
        <v>37</v>
      </c>
      <c r="D4" s="2" t="s">
        <v>38</v>
      </c>
      <c r="E4" s="2" t="s">
        <v>39</v>
      </c>
      <c r="F4" s="2" t="s">
        <v>40</v>
      </c>
      <c r="G4" s="2" t="s">
        <v>41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</row>
    <row r="5" spans="1:13" x14ac:dyDescent="0.35">
      <c r="A5" s="3" t="s">
        <v>15</v>
      </c>
      <c r="B5" s="4">
        <v>6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4">
        <f t="shared" ref="M5:M22" si="0">SUM(C5:L5)</f>
        <v>0</v>
      </c>
    </row>
    <row r="6" spans="1:13" x14ac:dyDescent="0.35">
      <c r="A6" s="3" t="s">
        <v>16</v>
      </c>
      <c r="B6" s="4">
        <v>1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4">
        <f t="shared" si="0"/>
        <v>0</v>
      </c>
    </row>
    <row r="7" spans="1:13" ht="26" x14ac:dyDescent="0.35">
      <c r="A7" s="3" t="s">
        <v>17</v>
      </c>
      <c r="B7" s="4">
        <v>8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4">
        <f t="shared" si="0"/>
        <v>0</v>
      </c>
    </row>
    <row r="8" spans="1:13" x14ac:dyDescent="0.35">
      <c r="A8" s="3" t="s">
        <v>18</v>
      </c>
      <c r="B8" s="4">
        <v>6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4">
        <f t="shared" si="0"/>
        <v>0</v>
      </c>
    </row>
    <row r="9" spans="1:13" x14ac:dyDescent="0.35">
      <c r="A9" s="3" t="s">
        <v>19</v>
      </c>
      <c r="B9" s="4">
        <v>4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4">
        <f t="shared" si="0"/>
        <v>0</v>
      </c>
    </row>
    <row r="10" spans="1:13" ht="26" x14ac:dyDescent="0.35">
      <c r="A10" s="3" t="s">
        <v>20</v>
      </c>
      <c r="B10" s="4">
        <v>6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4">
        <f t="shared" si="0"/>
        <v>0</v>
      </c>
    </row>
    <row r="11" spans="1:13" x14ac:dyDescent="0.35">
      <c r="A11" s="3" t="s">
        <v>21</v>
      </c>
      <c r="B11" s="4">
        <v>2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4">
        <f t="shared" si="0"/>
        <v>0</v>
      </c>
    </row>
    <row r="12" spans="1:13" x14ac:dyDescent="0.35">
      <c r="A12" s="3" t="s">
        <v>22</v>
      </c>
      <c r="B12" s="4">
        <v>4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4">
        <f t="shared" si="0"/>
        <v>0</v>
      </c>
    </row>
    <row r="13" spans="1:13" x14ac:dyDescent="0.35">
      <c r="A13" s="3" t="s">
        <v>23</v>
      </c>
      <c r="B13" s="4">
        <v>10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4">
        <f t="shared" si="0"/>
        <v>0</v>
      </c>
    </row>
    <row r="14" spans="1:13" x14ac:dyDescent="0.35">
      <c r="A14" s="3" t="s">
        <v>24</v>
      </c>
      <c r="B14" s="4">
        <v>4</v>
      </c>
      <c r="C14" s="5">
        <v>0</v>
      </c>
      <c r="D14" s="5">
        <v>2</v>
      </c>
      <c r="E14" s="5">
        <v>0</v>
      </c>
      <c r="F14" s="5">
        <v>2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4">
        <f t="shared" si="0"/>
        <v>4</v>
      </c>
    </row>
    <row r="15" spans="1:13" x14ac:dyDescent="0.35">
      <c r="A15" s="3" t="s">
        <v>25</v>
      </c>
      <c r="B15" s="4">
        <v>2</v>
      </c>
      <c r="C15" s="5">
        <v>2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4">
        <f t="shared" si="0"/>
        <v>2</v>
      </c>
    </row>
    <row r="16" spans="1:13" x14ac:dyDescent="0.35">
      <c r="A16" s="3" t="s">
        <v>26</v>
      </c>
      <c r="B16" s="4">
        <v>6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4">
        <f t="shared" si="0"/>
        <v>0</v>
      </c>
    </row>
    <row r="17" spans="1:13" x14ac:dyDescent="0.35">
      <c r="A17" s="3" t="s">
        <v>27</v>
      </c>
      <c r="B17" s="4">
        <v>6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4">
        <f t="shared" si="0"/>
        <v>0</v>
      </c>
    </row>
    <row r="18" spans="1:13" x14ac:dyDescent="0.35">
      <c r="A18" s="3" t="s">
        <v>28</v>
      </c>
      <c r="B18" s="4">
        <v>8</v>
      </c>
      <c r="C18" s="5">
        <v>8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4">
        <f t="shared" si="0"/>
        <v>8</v>
      </c>
    </row>
    <row r="19" spans="1:13" ht="26" x14ac:dyDescent="0.35">
      <c r="A19" s="3" t="s">
        <v>29</v>
      </c>
      <c r="B19" s="4">
        <v>8</v>
      </c>
      <c r="C19" s="5">
        <v>0</v>
      </c>
      <c r="D19" s="5">
        <v>0</v>
      </c>
      <c r="E19" s="5">
        <v>8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4">
        <f t="shared" si="0"/>
        <v>8</v>
      </c>
    </row>
    <row r="20" spans="1:13" ht="26" x14ac:dyDescent="0.35">
      <c r="A20" s="3" t="s">
        <v>30</v>
      </c>
      <c r="B20" s="4">
        <v>10</v>
      </c>
      <c r="C20" s="5">
        <v>0</v>
      </c>
      <c r="D20" s="5">
        <v>0</v>
      </c>
      <c r="E20" s="5">
        <v>0</v>
      </c>
      <c r="F20" s="5">
        <v>5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4">
        <f t="shared" si="0"/>
        <v>5</v>
      </c>
    </row>
    <row r="21" spans="1:13" ht="26" x14ac:dyDescent="0.35">
      <c r="A21" s="3" t="s">
        <v>31</v>
      </c>
      <c r="B21" s="4">
        <v>12</v>
      </c>
      <c r="C21" s="5">
        <v>0</v>
      </c>
      <c r="D21" s="5">
        <v>0</v>
      </c>
      <c r="E21" s="5">
        <v>6</v>
      </c>
      <c r="F21" s="5">
        <v>6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4">
        <f t="shared" si="0"/>
        <v>12</v>
      </c>
    </row>
    <row r="22" spans="1:13" x14ac:dyDescent="0.35">
      <c r="A22" s="3" t="s">
        <v>32</v>
      </c>
      <c r="B22" s="4">
        <v>2</v>
      </c>
      <c r="C22" s="5">
        <v>0</v>
      </c>
      <c r="D22" s="5">
        <v>0</v>
      </c>
      <c r="E22" s="5">
        <v>0</v>
      </c>
      <c r="F22" s="5">
        <v>2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4">
        <f t="shared" si="0"/>
        <v>2</v>
      </c>
    </row>
    <row r="23" spans="1:13" x14ac:dyDescent="0.35">
      <c r="A23" s="6" t="s">
        <v>14</v>
      </c>
      <c r="B23" s="6">
        <f t="shared" ref="B23:M23" si="1">SUM(B5:B22)</f>
        <v>105</v>
      </c>
      <c r="C23" s="6">
        <f t="shared" si="1"/>
        <v>10</v>
      </c>
      <c r="D23" s="6">
        <f t="shared" si="1"/>
        <v>2</v>
      </c>
      <c r="E23" s="6">
        <f t="shared" si="1"/>
        <v>14</v>
      </c>
      <c r="F23" s="6">
        <f t="shared" si="1"/>
        <v>15</v>
      </c>
      <c r="G23" s="6">
        <f t="shared" si="1"/>
        <v>0</v>
      </c>
      <c r="H23" s="6">
        <f t="shared" si="1"/>
        <v>0</v>
      </c>
      <c r="I23" s="6">
        <f t="shared" si="1"/>
        <v>0</v>
      </c>
      <c r="J23" s="6">
        <f t="shared" si="1"/>
        <v>0</v>
      </c>
      <c r="K23" s="6">
        <f t="shared" si="1"/>
        <v>0</v>
      </c>
      <c r="L23" s="6">
        <f t="shared" si="1"/>
        <v>0</v>
      </c>
      <c r="M23" s="6">
        <f t="shared" si="1"/>
        <v>41</v>
      </c>
    </row>
    <row r="25" spans="1:13" x14ac:dyDescent="0.35">
      <c r="A25" s="7" t="s">
        <v>33</v>
      </c>
      <c r="B25" s="7" t="s">
        <v>34</v>
      </c>
      <c r="C25" s="7" t="s">
        <v>4</v>
      </c>
      <c r="D25" s="7" t="s">
        <v>5</v>
      </c>
      <c r="E25" s="7" t="s">
        <v>6</v>
      </c>
      <c r="F25" s="7" t="s">
        <v>7</v>
      </c>
      <c r="G25" s="7" t="s">
        <v>8</v>
      </c>
      <c r="H25" s="7" t="s">
        <v>9</v>
      </c>
      <c r="I25" s="7" t="s">
        <v>10</v>
      </c>
      <c r="J25" s="7" t="s">
        <v>11</v>
      </c>
      <c r="K25" s="7" t="s">
        <v>12</v>
      </c>
      <c r="L25" s="7" t="s">
        <v>13</v>
      </c>
    </row>
    <row r="26" spans="1:13" x14ac:dyDescent="0.35">
      <c r="A26" s="8" t="s">
        <v>35</v>
      </c>
      <c r="B26" s="8">
        <f>B23</f>
        <v>105</v>
      </c>
      <c r="C26" s="8">
        <f t="shared" ref="C26:L26" si="2">B26-C23</f>
        <v>95</v>
      </c>
      <c r="D26" s="8">
        <f t="shared" si="2"/>
        <v>93</v>
      </c>
      <c r="E26" s="8">
        <f t="shared" si="2"/>
        <v>79</v>
      </c>
      <c r="F26" s="8">
        <f t="shared" si="2"/>
        <v>64</v>
      </c>
      <c r="G26" s="8">
        <f t="shared" si="2"/>
        <v>64</v>
      </c>
      <c r="H26" s="8">
        <f t="shared" si="2"/>
        <v>64</v>
      </c>
      <c r="I26" s="8">
        <f t="shared" si="2"/>
        <v>64</v>
      </c>
      <c r="J26" s="8">
        <f t="shared" si="2"/>
        <v>64</v>
      </c>
      <c r="K26" s="8">
        <f t="shared" si="2"/>
        <v>64</v>
      </c>
      <c r="L26" s="8">
        <f t="shared" si="2"/>
        <v>64</v>
      </c>
    </row>
    <row r="27" spans="1:13" x14ac:dyDescent="0.35">
      <c r="A27" s="8" t="s">
        <v>36</v>
      </c>
      <c r="B27" s="8">
        <f>B23</f>
        <v>105</v>
      </c>
      <c r="C27" s="8">
        <f>ROUND($B$23-$B$23/10*1,1)</f>
        <v>94.5</v>
      </c>
      <c r="D27" s="8">
        <f>ROUND($B$23-$B$23/10*2,1)</f>
        <v>84</v>
      </c>
      <c r="E27" s="8">
        <f>ROUND($B$23-$B$23/10*3,1)</f>
        <v>73.5</v>
      </c>
      <c r="F27" s="8">
        <f>ROUND($B$23-$B$23/10*4,1)</f>
        <v>63</v>
      </c>
      <c r="G27" s="8">
        <f>ROUND($B$23-$B$23/10*5,1)</f>
        <v>52.5</v>
      </c>
      <c r="H27" s="8">
        <f>ROUND($B$23-$B$23/10*6,1)</f>
        <v>42</v>
      </c>
      <c r="I27" s="8">
        <f>ROUND($B$23-$B$23/10*7,1)</f>
        <v>31.5</v>
      </c>
      <c r="J27" s="8">
        <f>ROUND($B$23-$B$23/10*8,1)</f>
        <v>21</v>
      </c>
      <c r="K27" s="8">
        <f>ROUND($B$23-$B$23/10*9,1)</f>
        <v>10.5</v>
      </c>
      <c r="L27" s="8">
        <f>ROUND($B$23-$B$23/10*10,1)</f>
        <v>0</v>
      </c>
    </row>
  </sheetData>
  <mergeCells count="1">
    <mergeCell ref="A2:M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Admusuario</cp:lastModifiedBy>
  <dcterms:created xsi:type="dcterms:W3CDTF">2026-10-15T02:14:51Z</dcterms:created>
  <dcterms:modified xsi:type="dcterms:W3CDTF">2026-10-20T22:40:08Z</dcterms:modified>
</cp:coreProperties>
</file>