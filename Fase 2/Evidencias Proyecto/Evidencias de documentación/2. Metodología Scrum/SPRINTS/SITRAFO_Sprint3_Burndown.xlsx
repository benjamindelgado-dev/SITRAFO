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rndow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5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 Trabajo Pendiente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'Burndown'!A20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'Burndown'!$B$19:$L$19</f>
            </numRef>
          </cat>
          <val>
            <numRef>
              <f>'Burndown'!$B$20:$L$20</f>
            </numRef>
          </val>
          <smooth val="0"/>
        </ser>
        <ser>
          <idx val="1"/>
          <order val="1"/>
          <tx>
            <strRef>
              <f>'Burndown'!A21</f>
            </strRef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'Burndown'!$B$19:$L$19</f>
            </numRef>
          </cat>
          <val>
            <numRef>
              <f>'Burndown'!$B$21:$L$21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 del 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Horas restantes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SITRAFO — Control del Sprint 3 (sprint de cierre de la Fase 2)</t>
        </is>
      </c>
    </row>
    <row r="2" ht="45" customHeight="1">
      <c r="A2" s="2" t="inlineStr">
        <is>
          <t>Plantilla lista para el Sprint 3: el Scrum Master registra las horas consumidas en la zona verde después de cada daily y escribe la fecha de cada día en la fila 'Día'.</t>
        </is>
      </c>
    </row>
    <row r="4" ht="30" customHeight="1">
      <c r="A4" s="3" t="inlineStr">
        <is>
          <t>Tarea</t>
        </is>
      </c>
      <c r="B4" s="3" t="inlineStr">
        <is>
          <t>Horas estimadas</t>
        </is>
      </c>
      <c r="C4" s="3" t="inlineStr">
        <is>
          <t>Día 1</t>
        </is>
      </c>
      <c r="D4" s="3" t="inlineStr">
        <is>
          <t>Día 2</t>
        </is>
      </c>
      <c r="E4" s="3" t="inlineStr">
        <is>
          <t>Día 3</t>
        </is>
      </c>
      <c r="F4" s="3" t="inlineStr">
        <is>
          <t>Día 4</t>
        </is>
      </c>
      <c r="G4" s="3" t="inlineStr">
        <is>
          <t>Día 5</t>
        </is>
      </c>
      <c r="H4" s="3" t="inlineStr">
        <is>
          <t>Día 6</t>
        </is>
      </c>
      <c r="I4" s="3" t="inlineStr">
        <is>
          <t>Día 7</t>
        </is>
      </c>
      <c r="J4" s="3" t="inlineStr">
        <is>
          <t>Día 8</t>
        </is>
      </c>
      <c r="K4" s="3" t="inlineStr">
        <is>
          <t>Día 9</t>
        </is>
      </c>
      <c r="L4" s="3" t="inlineStr">
        <is>
          <t>Día 10</t>
        </is>
      </c>
      <c r="M4" s="3" t="inlineStr">
        <is>
          <t>Total</t>
        </is>
      </c>
    </row>
    <row r="5">
      <c r="A5" s="4" t="inlineStr">
        <is>
          <t>S3-01 Informe de verificación en producción PRU-01 (saldo del Sprint 2)</t>
        </is>
      </c>
      <c r="B5" s="5" t="n">
        <v>6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5">
        <f>SUM(C5:L5)</f>
        <v/>
      </c>
    </row>
    <row r="6">
      <c r="A6" s="4" t="inlineStr">
        <is>
          <t>S3-02 Subir al repositorio el informe QA-01 (réplica local)</t>
        </is>
      </c>
      <c r="B6" s="5" t="n">
        <v>1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5">
        <f>SUM(C6:L6)</f>
        <v/>
      </c>
    </row>
    <row r="7">
      <c r="A7" s="4" t="inlineStr">
        <is>
          <t>S3-03 Plan de pruebas consolidado: unitarias, integración, rendimiento y seguridad</t>
        </is>
      </c>
      <c r="B7" s="5" t="n">
        <v>8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5">
        <f>SUM(C7:L7)</f>
        <v/>
      </c>
    </row>
    <row r="8">
      <c r="A8" s="4" t="inlineStr">
        <is>
          <t>S3-04 Optimizar tiempos de respuesta y repetir la prueba de carga</t>
        </is>
      </c>
      <c r="B8" s="5" t="n">
        <v>6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5">
        <f>SUM(C8:L8)</f>
        <v/>
      </c>
    </row>
    <row r="9">
      <c r="A9" s="4" t="inlineStr">
        <is>
          <t>S3-05 Visión del producto (Product Vision)</t>
        </is>
      </c>
      <c r="B9" s="5" t="n">
        <v>4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5">
        <f>SUM(C9:L9)</f>
        <v/>
      </c>
    </row>
    <row r="10">
      <c r="A10" s="4" t="inlineStr">
        <is>
          <t>S3-06 Manual técnico y de despliegue (Docker, variables de entorno, Render)</t>
        </is>
      </c>
      <c r="B10" s="5" t="n">
        <v>6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5">
        <f>SUM(C10:L10)</f>
        <v/>
      </c>
    </row>
    <row r="11">
      <c r="A11" s="4" t="inlineStr">
        <is>
          <t>S3-07 README de la raíz con instrucciones reales de ejecución</t>
        </is>
      </c>
      <c r="B11" s="5" t="n">
        <v>2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5">
        <f>SUM(C11:L11)</f>
        <v/>
      </c>
    </row>
    <row r="12">
      <c r="A12" s="4" t="inlineStr">
        <is>
          <t>S3-08 Documentar las APIs propias del sistema</t>
        </is>
      </c>
      <c r="B12" s="5" t="n">
        <v>4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5">
        <f>SUM(C12:L12)</f>
        <v/>
      </c>
    </row>
    <row r="13">
      <c r="A13" s="4" t="inlineStr">
        <is>
          <t>S3-09 Informe final 2.6 con sección de innovación</t>
        </is>
      </c>
      <c r="B13" s="5" t="n">
        <v>10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5">
        <f>SUM(C13:L13)</f>
        <v/>
      </c>
    </row>
    <row r="14">
      <c r="A14" s="4" t="inlineStr">
        <is>
          <t>S3-10 Registro de dailies (tres por semana) y actualización del burndown</t>
        </is>
      </c>
      <c r="B14" s="5" t="n">
        <v>4</v>
      </c>
      <c r="C14" s="6" t="n">
        <v>0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5">
        <f>SUM(C14:L14)</f>
        <v/>
      </c>
    </row>
    <row r="15">
      <c r="A15" s="4" t="inlineStr">
        <is>
          <t>S3-11 Sprint Review y retrospectiva del Sprint 3</t>
        </is>
      </c>
      <c r="B15" s="5" t="n">
        <v>2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5">
        <f>SUM(C15:L15)</f>
        <v/>
      </c>
    </row>
    <row r="16">
      <c r="A16" s="4" t="inlineStr">
        <is>
          <t>S3-12 Presentación final de la Fase 2</t>
        </is>
      </c>
      <c r="B16" s="5" t="n">
        <v>6</v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5">
        <f>SUM(C16:L16)</f>
        <v/>
      </c>
    </row>
    <row r="17">
      <c r="A17" s="7" t="inlineStr">
        <is>
          <t>Total</t>
        </is>
      </c>
      <c r="B17" s="7">
        <f>SUM(B5:B16)</f>
        <v/>
      </c>
      <c r="C17" s="7">
        <f>SUM(C5:C16)</f>
        <v/>
      </c>
      <c r="D17" s="7">
        <f>SUM(D5:D16)</f>
        <v/>
      </c>
      <c r="E17" s="7">
        <f>SUM(E5:E16)</f>
        <v/>
      </c>
      <c r="F17" s="7">
        <f>SUM(F5:F16)</f>
        <v/>
      </c>
      <c r="G17" s="7">
        <f>SUM(G5:G16)</f>
        <v/>
      </c>
      <c r="H17" s="7">
        <f>SUM(H5:H16)</f>
        <v/>
      </c>
      <c r="I17" s="7">
        <f>SUM(I5:I16)</f>
        <v/>
      </c>
      <c r="J17" s="7">
        <f>SUM(J5:J16)</f>
        <v/>
      </c>
      <c r="K17" s="7">
        <f>SUM(K5:K16)</f>
        <v/>
      </c>
      <c r="L17" s="7">
        <f>SUM(L5:L16)</f>
        <v/>
      </c>
      <c r="M17" s="7">
        <f>SUM(M5:M16)</f>
        <v/>
      </c>
    </row>
    <row r="19">
      <c r="A19" s="8" t="inlineStr">
        <is>
          <t>Día</t>
        </is>
      </c>
      <c r="B19" s="8" t="inlineStr">
        <is>
          <t>Inicio</t>
        </is>
      </c>
      <c r="C19" s="8" t="inlineStr">
        <is>
          <t>Día 1</t>
        </is>
      </c>
      <c r="D19" s="8" t="inlineStr">
        <is>
          <t>Día 2</t>
        </is>
      </c>
      <c r="E19" s="8" t="inlineStr">
        <is>
          <t>Día 3</t>
        </is>
      </c>
      <c r="F19" s="8" t="inlineStr">
        <is>
          <t>Día 4</t>
        </is>
      </c>
      <c r="G19" s="8" t="inlineStr">
        <is>
          <t>Día 5</t>
        </is>
      </c>
      <c r="H19" s="8" t="inlineStr">
        <is>
          <t>Día 6</t>
        </is>
      </c>
      <c r="I19" s="8" t="inlineStr">
        <is>
          <t>Día 7</t>
        </is>
      </c>
      <c r="J19" s="8" t="inlineStr">
        <is>
          <t>Día 8</t>
        </is>
      </c>
      <c r="K19" s="8" t="inlineStr">
        <is>
          <t>Día 9</t>
        </is>
      </c>
      <c r="L19" s="8" t="inlineStr">
        <is>
          <t>Día 10</t>
        </is>
      </c>
    </row>
    <row r="20">
      <c r="A20" s="9" t="inlineStr">
        <is>
          <t>Horas reales de producto por realizar</t>
        </is>
      </c>
      <c r="B20" s="9">
        <f>B17</f>
        <v/>
      </c>
      <c r="C20" s="9">
        <f>B20-C17</f>
        <v/>
      </c>
      <c r="D20" s="9">
        <f>C20-D17</f>
        <v/>
      </c>
      <c r="E20" s="9">
        <f>D20-E17</f>
        <v/>
      </c>
      <c r="F20" s="9">
        <f>E20-F17</f>
        <v/>
      </c>
      <c r="G20" s="9">
        <f>F20-G17</f>
        <v/>
      </c>
      <c r="H20" s="9">
        <f>G20-H17</f>
        <v/>
      </c>
      <c r="I20" s="9">
        <f>H20-I17</f>
        <v/>
      </c>
      <c r="J20" s="9">
        <f>I20-J17</f>
        <v/>
      </c>
      <c r="K20" s="9">
        <f>J20-K17</f>
        <v/>
      </c>
      <c r="L20" s="9">
        <f>K20-L17</f>
        <v/>
      </c>
    </row>
    <row r="21">
      <c r="A21" s="9" t="inlineStr">
        <is>
          <t>Horas estimadas de producto por realizar</t>
        </is>
      </c>
      <c r="B21" s="9">
        <f>B17</f>
        <v/>
      </c>
      <c r="C21" s="9">
        <f>ROUND($B$17-$B$17/10*1,1)</f>
        <v/>
      </c>
      <c r="D21" s="9">
        <f>ROUND($B$17-$B$17/10*2,1)</f>
        <v/>
      </c>
      <c r="E21" s="9">
        <f>ROUND($B$17-$B$17/10*3,1)</f>
        <v/>
      </c>
      <c r="F21" s="9">
        <f>ROUND($B$17-$B$17/10*4,1)</f>
        <v/>
      </c>
      <c r="G21" s="9">
        <f>ROUND($B$17-$B$17/10*5,1)</f>
        <v/>
      </c>
      <c r="H21" s="9">
        <f>ROUND($B$17-$B$17/10*6,1)</f>
        <v/>
      </c>
      <c r="I21" s="9">
        <f>ROUND($B$17-$B$17/10*7,1)</f>
        <v/>
      </c>
      <c r="J21" s="9">
        <f>ROUND($B$17-$B$17/10*8,1)</f>
        <v/>
      </c>
      <c r="K21" s="9">
        <f>ROUND($B$17-$B$17/10*9,1)</f>
        <v/>
      </c>
      <c r="L21" s="9">
        <f>ROUND($B$17-$B$17/10*10,1)</f>
        <v/>
      </c>
    </row>
  </sheetData>
  <mergeCells count="1">
    <mergeCell ref="A2:M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2026-10-15T02:14:51Z</dcterms:created>
  <dcterms:modified xmlns:dcterms="http://purl.org/dc/terms/" xmlns:xsi="http://www.w3.org/2001/XMLSchema-instance" xsi:type="dcterms:W3CDTF">2026-10-15T02:14:51Z</dcterms:modified>
</cp:coreProperties>
</file>