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rndow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5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 Trabajo Pendiente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'Burndown'!A34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'Burndown'!$B$33:$O$33</f>
            </numRef>
          </cat>
          <val>
            <numRef>
              <f>'Burndown'!$B$34:$O$34</f>
            </numRef>
          </val>
          <smooth val="0"/>
        </ser>
        <ser>
          <idx val="1"/>
          <order val="1"/>
          <tx>
            <strRef>
              <f>'Burndown'!A35</f>
            </strRef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'Burndown'!$B$33:$O$33</f>
            </numRef>
          </cat>
          <val>
            <numRef>
              <f>'Burndown'!$B$35:$O$35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 del 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Horas restantes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SITRAFO — Control del Sprint 2 (29 de septiembre al 15 de octubre de 2026)</t>
        </is>
      </c>
    </row>
    <row r="2" ht="45" customHeight="1">
      <c r="A2" s="2" t="inlineStr">
        <is>
          <t>Horas estimadas por tarea, imputadas al día del commit que la integró al repositorio. El 12 de octubre fue feriado; el 10 de octubre (sábado) se trabajó. PRU-01 y la presentación de avance siguen en curso al 14 de octubre; su saldo pasa al Sprint 3. El Scrum Master actualiza el día 15 después de la revisión.</t>
        </is>
      </c>
    </row>
    <row r="4" ht="30" customHeight="1">
      <c r="A4" s="3" t="inlineStr">
        <is>
          <t>Tarea</t>
        </is>
      </c>
      <c r="B4" s="3" t="inlineStr">
        <is>
          <t>Horas estimadas</t>
        </is>
      </c>
      <c r="C4" s="3" t="inlineStr">
        <is>
          <t>Día 1
29-sep</t>
        </is>
      </c>
      <c r="D4" s="3" t="inlineStr">
        <is>
          <t>Día 2
30-sep</t>
        </is>
      </c>
      <c r="E4" s="3" t="inlineStr">
        <is>
          <t>Día 3
01-oct</t>
        </is>
      </c>
      <c r="F4" s="3" t="inlineStr">
        <is>
          <t>Día 4
02-oct</t>
        </is>
      </c>
      <c r="G4" s="3" t="inlineStr">
        <is>
          <t>Día 5
05-oct</t>
        </is>
      </c>
      <c r="H4" s="3" t="inlineStr">
        <is>
          <t>Día 6
06-oct</t>
        </is>
      </c>
      <c r="I4" s="3" t="inlineStr">
        <is>
          <t>Día 7
07-oct</t>
        </is>
      </c>
      <c r="J4" s="3" t="inlineStr">
        <is>
          <t>Día 8
08-oct</t>
        </is>
      </c>
      <c r="K4" s="3" t="inlineStr">
        <is>
          <t>Día 9
09-oct</t>
        </is>
      </c>
      <c r="L4" s="3" t="inlineStr">
        <is>
          <t>Día 10
10-oct</t>
        </is>
      </c>
      <c r="M4" s="3" t="inlineStr">
        <is>
          <t>Día 11
13-oct</t>
        </is>
      </c>
      <c r="N4" s="3" t="inlineStr">
        <is>
          <t>Día 12
14-oct</t>
        </is>
      </c>
      <c r="O4" s="3" t="inlineStr">
        <is>
          <t>Día 13
15-oct</t>
        </is>
      </c>
      <c r="P4" s="3" t="inlineStr">
        <is>
          <t>Total</t>
        </is>
      </c>
    </row>
    <row r="5">
      <c r="A5" s="4" t="inlineStr">
        <is>
          <t>S2-01 Anulación, PDF, reportes, costos indirectos, geocodificación y avisos</t>
        </is>
      </c>
      <c r="B5" s="5" t="n">
        <v>16</v>
      </c>
      <c r="C5" s="6" t="n">
        <v>16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5">
        <f>SUM(C5:O5)</f>
        <v/>
      </c>
    </row>
    <row r="6">
      <c r="A6" s="4" t="inlineStr">
        <is>
          <t>S2-02 Despliegue en Render: ajustes de producción, blueprint, cron y PostgreSQL</t>
        </is>
      </c>
      <c r="B6" s="5" t="n">
        <v>8</v>
      </c>
      <c r="C6" s="6" t="n">
        <v>8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5">
        <f>SUM(C6:O6)</f>
        <v/>
      </c>
    </row>
    <row r="7">
      <c r="A7" s="4" t="inlineStr">
        <is>
          <t>S2-03 Direcciones del cliente en la web y permisos por sección</t>
        </is>
      </c>
      <c r="B7" s="5" t="n">
        <v>4</v>
      </c>
      <c r="C7" s="6" t="n">
        <v>4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5">
        <f>SUM(C7:O7)</f>
        <v/>
      </c>
    </row>
    <row r="8">
      <c r="A8" s="4" t="inlineStr">
        <is>
          <t>S2-04 SITRAFO.exe con servidor configurable y construcción en GitHub Actions</t>
        </is>
      </c>
      <c r="B8" s="5" t="n">
        <v>6</v>
      </c>
      <c r="C8" s="6" t="n">
        <v>0</v>
      </c>
      <c r="D8" s="6" t="n">
        <v>6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5">
        <f>SUM(C8:O8)</f>
        <v/>
      </c>
    </row>
    <row r="9">
      <c r="A9" s="4" t="inlineStr">
        <is>
          <t>S2-05 Esquema DDL, datos de demostración y diccionario de datos</t>
        </is>
      </c>
      <c r="B9" s="5" t="n">
        <v>6</v>
      </c>
      <c r="C9" s="6" t="n">
        <v>0</v>
      </c>
      <c r="D9" s="6" t="n">
        <v>6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5">
        <f>SUM(C9:O9)</f>
        <v/>
      </c>
    </row>
    <row r="10">
      <c r="A10" s="4" t="inlineStr">
        <is>
          <t>S2-06 OC automática al aceptar y confirmación al pagar el anticipo</t>
        </is>
      </c>
      <c r="B10" s="5" t="n">
        <v>5</v>
      </c>
      <c r="C10" s="6" t="n">
        <v>0</v>
      </c>
      <c r="D10" s="6" t="n">
        <v>5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5">
        <f>SUM(C10:O10)</f>
        <v/>
      </c>
    </row>
    <row r="11">
      <c r="A11" s="4" t="inlineStr">
        <is>
          <t>S2-07 Diario de reflexión Fase 2 (2.1) — Benjamín</t>
        </is>
      </c>
      <c r="B11" s="5" t="n">
        <v>3</v>
      </c>
      <c r="C11" s="6" t="n">
        <v>0</v>
      </c>
      <c r="D11" s="6" t="n">
        <v>0</v>
      </c>
      <c r="E11" s="6" t="n">
        <v>3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5">
        <f>SUM(C11:O11)</f>
        <v/>
      </c>
    </row>
    <row r="12">
      <c r="A12" s="4" t="inlineStr">
        <is>
          <t>S2-08 Diario de reflexión Fase 2 (2.1) — Camila</t>
        </is>
      </c>
      <c r="B12" s="5" t="n">
        <v>3</v>
      </c>
      <c r="C12" s="6" t="n">
        <v>0</v>
      </c>
      <c r="D12" s="6" t="n">
        <v>0</v>
      </c>
      <c r="E12" s="6" t="n">
        <v>3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5">
        <f>SUM(C12:O12)</f>
        <v/>
      </c>
    </row>
    <row r="13">
      <c r="A13" s="4" t="inlineStr">
        <is>
          <t>S2-09 Diario de reflexión Fase 2 (2.1) — Milko</t>
        </is>
      </c>
      <c r="B13" s="5" t="n">
        <v>3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3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5">
        <f>SUM(C13:O13)</f>
        <v/>
      </c>
    </row>
    <row r="14">
      <c r="A14" s="4" t="inlineStr">
        <is>
          <t>S2-10 Catálogo de regiones y comunas con buscador</t>
        </is>
      </c>
      <c r="B14" s="5" t="n">
        <v>3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3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5">
        <f>SUM(C14:O14)</f>
        <v/>
      </c>
    </row>
    <row r="15">
      <c r="A15" s="4" t="inlineStr">
        <is>
          <t>S2-11 MER-01 v2.0, diagramas de clases, SEC-01 y ARQ-01</t>
        </is>
      </c>
      <c r="B15" s="5" t="n">
        <v>12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12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5">
        <f>SUM(C15:O15)</f>
        <v/>
      </c>
    </row>
    <row r="16">
      <c r="A16" s="4" t="inlineStr">
        <is>
          <t>S2-12 OT generadas automáticamente al pagarse el anticipo</t>
        </is>
      </c>
      <c r="B16" s="5" t="n">
        <v>3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3</v>
      </c>
      <c r="L16" s="6" t="n">
        <v>0</v>
      </c>
      <c r="M16" s="6" t="n">
        <v>0</v>
      </c>
      <c r="N16" s="6" t="n">
        <v>0</v>
      </c>
      <c r="O16" s="6" t="n">
        <v>0</v>
      </c>
      <c r="P16" s="5">
        <f>SUM(C16:O16)</f>
        <v/>
      </c>
    </row>
    <row r="17">
      <c r="A17" s="4" t="inlineStr">
        <is>
          <t>S2-13 Organización de evidencias, MET-01 y Definición de Terminado</t>
        </is>
      </c>
      <c r="B17" s="5" t="n">
        <v>6</v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6</v>
      </c>
      <c r="L17" s="6" t="n">
        <v>0</v>
      </c>
      <c r="M17" s="6" t="n">
        <v>0</v>
      </c>
      <c r="N17" s="6" t="n">
        <v>0</v>
      </c>
      <c r="O17" s="6" t="n">
        <v>0</v>
      </c>
      <c r="P17" s="5">
        <f>SUM(C17:O17)</f>
        <v/>
      </c>
    </row>
    <row r="18">
      <c r="A18" s="4" t="inlineStr">
        <is>
          <t>S2-14 EVI-01 y guías 2.4 y 2.6 con anexo de capturas</t>
        </is>
      </c>
      <c r="B18" s="5" t="n">
        <v>8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8</v>
      </c>
      <c r="L18" s="6" t="n">
        <v>0</v>
      </c>
      <c r="M18" s="6" t="n">
        <v>0</v>
      </c>
      <c r="N18" s="6" t="n">
        <v>0</v>
      </c>
      <c r="O18" s="6" t="n">
        <v>0</v>
      </c>
      <c r="P18" s="5">
        <f>SUM(C18:O18)</f>
        <v/>
      </c>
    </row>
    <row r="19">
      <c r="A19" s="4" t="inlineStr">
        <is>
          <t>S2-15 CU-01 v2.0 y mockup de interfaces MOC-01</t>
        </is>
      </c>
      <c r="B19" s="5" t="n">
        <v>8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8</v>
      </c>
      <c r="L19" s="6" t="n">
        <v>0</v>
      </c>
      <c r="M19" s="6" t="n">
        <v>0</v>
      </c>
      <c r="N19" s="6" t="n">
        <v>0</v>
      </c>
      <c r="O19" s="6" t="n">
        <v>0</v>
      </c>
      <c r="P19" s="5">
        <f>SUM(C19:O19)</f>
        <v/>
      </c>
    </row>
    <row r="20">
      <c r="A20" s="4" t="inlineStr">
        <is>
          <t>S2-16 Aprobación de calidad, bandeja de pendientes y avisos entre roles</t>
        </is>
      </c>
      <c r="B20" s="5" t="n">
        <v>10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10</v>
      </c>
      <c r="M20" s="6" t="n">
        <v>0</v>
      </c>
      <c r="N20" s="6" t="n">
        <v>0</v>
      </c>
      <c r="O20" s="6" t="n">
        <v>0</v>
      </c>
      <c r="P20" s="5">
        <f>SUM(C20:O20)</f>
        <v/>
      </c>
    </row>
    <row r="21">
      <c r="A21" s="4" t="inlineStr">
        <is>
          <t>S2-17 Parámetros de negocio editables y casos de uso parciales</t>
        </is>
      </c>
      <c r="B21" s="5" t="n">
        <v>6</v>
      </c>
      <c r="C21" s="6" t="n">
        <v>0</v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6</v>
      </c>
      <c r="M21" s="6" t="n">
        <v>0</v>
      </c>
      <c r="N21" s="6" t="n">
        <v>0</v>
      </c>
      <c r="O21" s="6" t="n">
        <v>0</v>
      </c>
      <c r="P21" s="5">
        <f>SUM(C21:O21)</f>
        <v/>
      </c>
    </row>
    <row r="22">
      <c r="A22" s="4" t="inlineStr">
        <is>
          <t>S2-18 CU-01 v2.2, MER-01 v2.1, SEC-01 v1.1, MOC-01 v1.1 y EVI-01 v1.3</t>
        </is>
      </c>
      <c r="B22" s="5" t="n">
        <v>6</v>
      </c>
      <c r="C22" s="6" t="n">
        <v>0</v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6</v>
      </c>
      <c r="M22" s="6" t="n">
        <v>0</v>
      </c>
      <c r="N22" s="6" t="n">
        <v>0</v>
      </c>
      <c r="O22" s="6" t="n">
        <v>0</v>
      </c>
      <c r="P22" s="5">
        <f>SUM(C22:O22)</f>
        <v/>
      </c>
    </row>
    <row r="23">
      <c r="A23" s="4" t="inlineStr">
        <is>
          <t>S2-19 Carga de backlogs y burndown de sprints en GitHub</t>
        </is>
      </c>
      <c r="B23" s="5" t="n">
        <v>6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6</v>
      </c>
      <c r="N23" s="6" t="n">
        <v>0</v>
      </c>
      <c r="O23" s="6" t="n">
        <v>0</v>
      </c>
      <c r="P23" s="5">
        <f>SUM(C23:O23)</f>
        <v/>
      </c>
    </row>
    <row r="24">
      <c r="A24" s="4" t="inlineStr">
        <is>
          <t>S2-20 MAN-01 con capturas del sistema</t>
        </is>
      </c>
      <c r="B24" s="5" t="n">
        <v>8</v>
      </c>
      <c r="C24" s="6" t="n">
        <v>0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8</v>
      </c>
      <c r="N24" s="6" t="n">
        <v>0</v>
      </c>
      <c r="O24" s="6" t="n">
        <v>0</v>
      </c>
      <c r="P24" s="5">
        <f>SUM(C24:O24)</f>
        <v/>
      </c>
    </row>
    <row r="25">
      <c r="A25" s="4" t="inlineStr">
        <is>
          <t>S2-21 Registro de daily y retrospectiva</t>
        </is>
      </c>
      <c r="B25" s="5" t="n">
        <v>2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2</v>
      </c>
      <c r="N25" s="6" t="n">
        <v>0</v>
      </c>
      <c r="O25" s="6" t="n">
        <v>0</v>
      </c>
      <c r="P25" s="5">
        <f>SUM(C25:O25)</f>
        <v/>
      </c>
    </row>
    <row r="26">
      <c r="A26" s="4" t="inlineStr">
        <is>
          <t>S2-22 Análisis OWASP ZAP del portal web</t>
        </is>
      </c>
      <c r="B26" s="5" t="n">
        <v>5</v>
      </c>
      <c r="C26" s="6" t="n">
        <v>0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0</v>
      </c>
      <c r="M26" s="6" t="n">
        <v>3</v>
      </c>
      <c r="N26" s="6" t="n">
        <v>2</v>
      </c>
      <c r="O26" s="6" t="n">
        <v>0</v>
      </c>
      <c r="P26" s="5">
        <f>SUM(C26:O26)</f>
        <v/>
      </c>
    </row>
    <row r="27">
      <c r="A27" s="4" t="inlineStr">
        <is>
          <t>S2-23 Prueba de carga con 30 usuarios sobre Render</t>
        </is>
      </c>
      <c r="B27" s="5" t="n">
        <v>4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4</v>
      </c>
      <c r="O27" s="6" t="n">
        <v>0</v>
      </c>
      <c r="P27" s="5">
        <f>SUM(C27:O27)</f>
        <v/>
      </c>
    </row>
    <row r="28">
      <c r="A28" s="4" t="inlineStr">
        <is>
          <t>S2-24 Pruebas automatizadas del portal con Selenium y su reporte</t>
        </is>
      </c>
      <c r="B28" s="5" t="n">
        <v>8</v>
      </c>
      <c r="C28" s="6" t="n">
        <v>0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8</v>
      </c>
      <c r="O28" s="6" t="n">
        <v>0</v>
      </c>
      <c r="P28" s="5">
        <f>SUM(C28:O28)</f>
        <v/>
      </c>
    </row>
    <row r="29">
      <c r="A29" s="4" t="inlineStr">
        <is>
          <t>S2-25 Informe de verificación en producción PRU-01</t>
        </is>
      </c>
      <c r="B29" s="5" t="n">
        <v>6</v>
      </c>
      <c r="C29" s="6" t="n">
        <v>0</v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5">
        <f>SUM(C29:O29)</f>
        <v/>
      </c>
    </row>
    <row r="30">
      <c r="A30" s="4" t="inlineStr">
        <is>
          <t>S2-26 Presentación de avance de la Fase 2 (revisión del Sprint 2)</t>
        </is>
      </c>
      <c r="B30" s="5" t="n">
        <v>4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5">
        <f>SUM(C30:O30)</f>
        <v/>
      </c>
    </row>
    <row r="31">
      <c r="A31" s="7" t="inlineStr">
        <is>
          <t>Total</t>
        </is>
      </c>
      <c r="B31" s="7">
        <f>SUM(B5:B30)</f>
        <v/>
      </c>
      <c r="C31" s="7">
        <f>SUM(C5:C30)</f>
        <v/>
      </c>
      <c r="D31" s="7">
        <f>SUM(D5:D30)</f>
        <v/>
      </c>
      <c r="E31" s="7">
        <f>SUM(E5:E30)</f>
        <v/>
      </c>
      <c r="F31" s="7">
        <f>SUM(F5:F30)</f>
        <v/>
      </c>
      <c r="G31" s="7">
        <f>SUM(G5:G30)</f>
        <v/>
      </c>
      <c r="H31" s="7">
        <f>SUM(H5:H30)</f>
        <v/>
      </c>
      <c r="I31" s="7">
        <f>SUM(I5:I30)</f>
        <v/>
      </c>
      <c r="J31" s="7">
        <f>SUM(J5:J30)</f>
        <v/>
      </c>
      <c r="K31" s="7">
        <f>SUM(K5:K30)</f>
        <v/>
      </c>
      <c r="L31" s="7">
        <f>SUM(L5:L30)</f>
        <v/>
      </c>
      <c r="M31" s="7">
        <f>SUM(M5:M30)</f>
        <v/>
      </c>
      <c r="N31" s="7">
        <f>SUM(N5:N30)</f>
        <v/>
      </c>
      <c r="O31" s="7">
        <f>SUM(O5:O30)</f>
        <v/>
      </c>
      <c r="P31" s="7">
        <f>SUM(P5:P30)</f>
        <v/>
      </c>
    </row>
    <row r="33">
      <c r="A33" s="8" t="inlineStr">
        <is>
          <t>Día</t>
        </is>
      </c>
      <c r="B33" s="8" t="inlineStr">
        <is>
          <t>Inicio</t>
        </is>
      </c>
      <c r="C33" s="8" t="inlineStr">
        <is>
          <t>29-sep</t>
        </is>
      </c>
      <c r="D33" s="8" t="inlineStr">
        <is>
          <t>30-sep</t>
        </is>
      </c>
      <c r="E33" s="8" t="inlineStr">
        <is>
          <t>01-oct</t>
        </is>
      </c>
      <c r="F33" s="8" t="inlineStr">
        <is>
          <t>02-oct</t>
        </is>
      </c>
      <c r="G33" s="8" t="inlineStr">
        <is>
          <t>05-oct</t>
        </is>
      </c>
      <c r="H33" s="8" t="inlineStr">
        <is>
          <t>06-oct</t>
        </is>
      </c>
      <c r="I33" s="8" t="inlineStr">
        <is>
          <t>07-oct</t>
        </is>
      </c>
      <c r="J33" s="8" t="inlineStr">
        <is>
          <t>08-oct</t>
        </is>
      </c>
      <c r="K33" s="8" t="inlineStr">
        <is>
          <t>09-oct</t>
        </is>
      </c>
      <c r="L33" s="8" t="inlineStr">
        <is>
          <t>10-oct</t>
        </is>
      </c>
      <c r="M33" s="8" t="inlineStr">
        <is>
          <t>13-oct</t>
        </is>
      </c>
      <c r="N33" s="8" t="inlineStr">
        <is>
          <t>14-oct</t>
        </is>
      </c>
      <c r="O33" s="8" t="inlineStr">
        <is>
          <t>15-oct</t>
        </is>
      </c>
    </row>
    <row r="34">
      <c r="A34" s="9" t="inlineStr">
        <is>
          <t>Horas reales de producto por realizar</t>
        </is>
      </c>
      <c r="B34" s="9">
        <f>B31</f>
        <v/>
      </c>
      <c r="C34" s="9">
        <f>B34-C31</f>
        <v/>
      </c>
      <c r="D34" s="9">
        <f>C34-D31</f>
        <v/>
      </c>
      <c r="E34" s="9">
        <f>D34-E31</f>
        <v/>
      </c>
      <c r="F34" s="9">
        <f>E34-F31</f>
        <v/>
      </c>
      <c r="G34" s="9">
        <f>F34-G31</f>
        <v/>
      </c>
      <c r="H34" s="9">
        <f>G34-H31</f>
        <v/>
      </c>
      <c r="I34" s="9">
        <f>H34-I31</f>
        <v/>
      </c>
      <c r="J34" s="9">
        <f>I34-J31</f>
        <v/>
      </c>
      <c r="K34" s="9">
        <f>J34-K31</f>
        <v/>
      </c>
      <c r="L34" s="9">
        <f>K34-L31</f>
        <v/>
      </c>
      <c r="M34" s="9">
        <f>L34-M31</f>
        <v/>
      </c>
      <c r="N34" s="9">
        <f>M34-N31</f>
        <v/>
      </c>
      <c r="O34" s="9">
        <f>N34-O31</f>
        <v/>
      </c>
    </row>
    <row r="35">
      <c r="A35" s="9" t="inlineStr">
        <is>
          <t>Horas estimadas de producto por realizar</t>
        </is>
      </c>
      <c r="B35" s="9">
        <f>B31</f>
        <v/>
      </c>
      <c r="C35" s="9">
        <f>ROUND($B$31-$B$31/13*1,1)</f>
        <v/>
      </c>
      <c r="D35" s="9">
        <f>ROUND($B$31-$B$31/13*2,1)</f>
        <v/>
      </c>
      <c r="E35" s="9">
        <f>ROUND($B$31-$B$31/13*3,1)</f>
        <v/>
      </c>
      <c r="F35" s="9">
        <f>ROUND($B$31-$B$31/13*4,1)</f>
        <v/>
      </c>
      <c r="G35" s="9">
        <f>ROUND($B$31-$B$31/13*5,1)</f>
        <v/>
      </c>
      <c r="H35" s="9">
        <f>ROUND($B$31-$B$31/13*6,1)</f>
        <v/>
      </c>
      <c r="I35" s="9">
        <f>ROUND($B$31-$B$31/13*7,1)</f>
        <v/>
      </c>
      <c r="J35" s="9">
        <f>ROUND($B$31-$B$31/13*8,1)</f>
        <v/>
      </c>
      <c r="K35" s="9">
        <f>ROUND($B$31-$B$31/13*9,1)</f>
        <v/>
      </c>
      <c r="L35" s="9">
        <f>ROUND($B$31-$B$31/13*10,1)</f>
        <v/>
      </c>
      <c r="M35" s="9">
        <f>ROUND($B$31-$B$31/13*11,1)</f>
        <v/>
      </c>
      <c r="N35" s="9">
        <f>ROUND($B$31-$B$31/13*12,1)</f>
        <v/>
      </c>
      <c r="O35" s="9">
        <f>ROUND($B$31-$B$31/13*13,1)</f>
        <v/>
      </c>
    </row>
  </sheetData>
  <mergeCells count="1">
    <mergeCell ref="A2:P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2026-10-15T02:14:51Z</dcterms:created>
  <dcterms:modified xmlns:dcterms="http://purl.org/dc/terms/" xmlns:xsi="http://www.w3.org/2001/XMLSchema-instance" xsi:type="dcterms:W3CDTF">2026-10-15T02:14:51Z</dcterms:modified>
</cp:coreProperties>
</file>