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usuario\Documents\SITRAFO\Fase 2\Evidencias Proyecto\Evidencias de documentación\2. Metodología Scrum\SPRINTS\"/>
    </mc:Choice>
  </mc:AlternateContent>
  <xr:revisionPtr revIDLastSave="0" documentId="13_ncr:1_{8742473C-A610-425D-B496-A68B20FA87DF}" xr6:coauthVersionLast="47" xr6:coauthVersionMax="47" xr10:uidLastSave="{00000000-0000-0000-0000-000000000000}"/>
  <bookViews>
    <workbookView xWindow="-110" yWindow="-110" windowWidth="19420" windowHeight="10560" xr2:uid="{00000000-000D-0000-FFFF-FFFF00000000}"/>
  </bookViews>
  <sheets>
    <sheet name="Burndow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31" i="1" l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35" i="1" s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31" i="1" l="1"/>
  <c r="B34" i="1"/>
  <c r="C34" i="1" s="1"/>
  <c r="D34" i="1" s="1"/>
  <c r="E34" i="1" s="1"/>
  <c r="F34" i="1" s="1"/>
  <c r="G34" i="1" s="1"/>
  <c r="H34" i="1" s="1"/>
  <c r="I34" i="1" s="1"/>
  <c r="J34" i="1" s="1"/>
  <c r="K34" i="1" s="1"/>
  <c r="L34" i="1" s="1"/>
  <c r="M34" i="1" s="1"/>
  <c r="N34" i="1" s="1"/>
  <c r="O34" i="1" s="1"/>
  <c r="D35" i="1"/>
  <c r="H35" i="1"/>
  <c r="L35" i="1"/>
  <c r="E35" i="1"/>
  <c r="I35" i="1"/>
  <c r="M35" i="1"/>
  <c r="B35" i="1"/>
  <c r="F35" i="1"/>
  <c r="J35" i="1"/>
  <c r="N35" i="1"/>
  <c r="C35" i="1"/>
  <c r="G35" i="1"/>
  <c r="K35" i="1"/>
</calcChain>
</file>

<file path=xl/sharedStrings.xml><?xml version="1.0" encoding="utf-8"?>
<sst xmlns="http://schemas.openxmlformats.org/spreadsheetml/2006/main" count="62" uniqueCount="61">
  <si>
    <t>SITRAFO — Control del Sprint 2 (29 de septiembre al 15 de octubre de 2026)</t>
  </si>
  <si>
    <t>Horas estimadas por tarea, imputadas al día del commit que la integró al repositorio. El 12 de octubre fue feriado; el 10 de octubre (sábado) se trabajó. PRU-01 y la presentación de avance siguen en curso al 14 de octubre; su saldo pasa al Sprint 3. El Scrum Master actualiza el día 15 después de la revisión.</t>
  </si>
  <si>
    <t>Tarea</t>
  </si>
  <si>
    <t>Horas estimadas</t>
  </si>
  <si>
    <t>Día 1
29-sep</t>
  </si>
  <si>
    <t>Día 2
30-sep</t>
  </si>
  <si>
    <t>Día 3
01-oct</t>
  </si>
  <si>
    <t>Día 4
02-oct</t>
  </si>
  <si>
    <t>Día 5
05-oct</t>
  </si>
  <si>
    <t>Día 6
06-oct</t>
  </si>
  <si>
    <t>Día 7
07-oct</t>
  </si>
  <si>
    <t>Día 8
08-oct</t>
  </si>
  <si>
    <t>Día 9
09-oct</t>
  </si>
  <si>
    <t>Día 10
10-oct</t>
  </si>
  <si>
    <t>Día 11
13-oct</t>
  </si>
  <si>
    <t>Día 12
14-oct</t>
  </si>
  <si>
    <t>Día 13
15-oct</t>
  </si>
  <si>
    <t>Total</t>
  </si>
  <si>
    <t>S2-01 Anulación, PDF, reportes, costos indirectos, geocodificación y avisos</t>
  </si>
  <si>
    <t>S2-02 Despliegue en Render: ajustes de producción, blueprint, cron y PostgreSQL</t>
  </si>
  <si>
    <t>S2-03 Direcciones del cliente en la web y permisos por sección</t>
  </si>
  <si>
    <t>S2-04 SITRAFO.exe con servidor configurable y construcción en GitHub Actions</t>
  </si>
  <si>
    <t>S2-05 Esquema DDL, datos de demostración y diccionario de datos</t>
  </si>
  <si>
    <t>S2-06 OC automática al aceptar y confirmación al pagar el anticipo</t>
  </si>
  <si>
    <t>S2-07 Diario de reflexión Fase 2 (2.1) — Benjamín</t>
  </si>
  <si>
    <t>S2-08 Diario de reflexión Fase 2 (2.1) — Camila</t>
  </si>
  <si>
    <t>S2-09 Diario de reflexión Fase 2 (2.1) — Milko</t>
  </si>
  <si>
    <t>S2-10 Catálogo de regiones y comunas con buscador</t>
  </si>
  <si>
    <t>S2-11 MER-01 v2.0, diagramas de clases, SEC-01 y ARQ-01</t>
  </si>
  <si>
    <t>S2-12 OT generadas automáticamente al pagarse el anticipo</t>
  </si>
  <si>
    <t>S2-13 Organización de evidencias, MET-01 y Definición de Terminado</t>
  </si>
  <si>
    <t>S2-14 EVI-01 y guías 2.4 y 2.6 con anexo de capturas</t>
  </si>
  <si>
    <t>S2-15 CU-01 v2.0 y mockup de interfaces MOC-01</t>
  </si>
  <si>
    <t>S2-16 Aprobación de calidad, bandeja de pendientes y avisos entre roles</t>
  </si>
  <si>
    <t>S2-17 Parámetros de negocio editables y casos de uso parciales</t>
  </si>
  <si>
    <t>S2-18 CU-01 v2.2, MER-01 v2.1, SEC-01 v1.1, MOC-01 v1.1 y EVI-01 v1.3</t>
  </si>
  <si>
    <t>S2-19 Carga de backlogs y burndown de sprints en GitHub</t>
  </si>
  <si>
    <t>S2-20 MAN-01 con capturas del sistema</t>
  </si>
  <si>
    <t>S2-21 Registro de daily y retrospectiva</t>
  </si>
  <si>
    <t>S2-22 Análisis OWASP ZAP del portal web</t>
  </si>
  <si>
    <t>S2-23 Prueba de carga con 30 usuarios sobre Render</t>
  </si>
  <si>
    <t>S2-24 Pruebas automatizadas del portal con Selenium y su reporte</t>
  </si>
  <si>
    <t>S2-25 Informe de verificación en producción PRU-01</t>
  </si>
  <si>
    <t>S2-26 Presentación de avance de la Fase 2 (revisión del Sprint 2)</t>
  </si>
  <si>
    <t>Día</t>
  </si>
  <si>
    <t>Inicio</t>
  </si>
  <si>
    <t>29-sep</t>
  </si>
  <si>
    <t>30-sep</t>
  </si>
  <si>
    <t>01-oct</t>
  </si>
  <si>
    <t>02-oct</t>
  </si>
  <si>
    <t>05-oct</t>
  </si>
  <si>
    <t>06-oct</t>
  </si>
  <si>
    <t>07-oct</t>
  </si>
  <si>
    <t>08-oct</t>
  </si>
  <si>
    <t>09-oct</t>
  </si>
  <si>
    <t>10-oct</t>
  </si>
  <si>
    <t>13-oct</t>
  </si>
  <si>
    <t>14-oct</t>
  </si>
  <si>
    <t>15-oct</t>
  </si>
  <si>
    <t>Horas reales de producto por realizar</t>
  </si>
  <si>
    <t>Horas estimadas de producto por realizar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</si>
</sst>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name val="Calibri"/>
    </font>
    <font>
      <i/>
      <sz val="10"/>
      <name val="Calibri"/>
    </font>
    <font>
      <b/>
      <sz val="11"/>
      <name val="Calibri"/>
    </font>
    <font>
      <sz val="10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/>
    <xf numFmtId="0" fontId="4" fillId="3" borderId="1" xfId="0" applyFont="1" applyFill="1" applyBorder="1"/>
    <xf numFmtId="0" fontId="5" fillId="0" borderId="1" xfId="0" applyFont="1" applyBorder="1"/>
    <xf numFmtId="0" fontId="5" fillId="2" borderId="1" xfId="0" applyFont="1" applyFill="1" applyBorder="1"/>
    <xf numFmtId="0" fontId="0" fillId="0" borderId="1" xfId="0" applyBorder="1"/>
    <xf numFmtId="0" fontId="2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L"/>
              <a:t>BurnDown Trabajo Pendiente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Burndown!$A$34</c:f>
              <c:strCache>
                <c:ptCount val="1"/>
                <c:pt idx="0">
                  <c:v>Horas reales de producto por realizar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Burndown!$B$33:$O$33</c:f>
              <c:strCache>
                <c:ptCount val="14"/>
                <c:pt idx="0">
                  <c:v>Inicio</c:v>
                </c:pt>
                <c:pt idx="1">
                  <c:v>29-sep</c:v>
                </c:pt>
                <c:pt idx="2">
                  <c:v>30-sep</c:v>
                </c:pt>
                <c:pt idx="3">
                  <c:v>01-oct</c:v>
                </c:pt>
                <c:pt idx="4">
                  <c:v>02-oct</c:v>
                </c:pt>
                <c:pt idx="5">
                  <c:v>05-oct</c:v>
                </c:pt>
                <c:pt idx="6">
                  <c:v>06-oct</c:v>
                </c:pt>
                <c:pt idx="7">
                  <c:v>07-oct</c:v>
                </c:pt>
                <c:pt idx="8">
                  <c:v>08-oct</c:v>
                </c:pt>
                <c:pt idx="9">
                  <c:v>09-oct</c:v>
                </c:pt>
                <c:pt idx="10">
                  <c:v>10-oct</c:v>
                </c:pt>
                <c:pt idx="11">
                  <c:v>13-oct</c:v>
                </c:pt>
                <c:pt idx="12">
                  <c:v>14-oct</c:v>
                </c:pt>
                <c:pt idx="13">
                  <c:v>15-oct</c:v>
                </c:pt>
              </c:strCache>
            </c:strRef>
          </c:cat>
          <c:val>
            <c:numRef>
              <c:f>Burndown!$B$34:$O$34</c:f>
              <c:numCache>
                <c:formatCode>General</c:formatCode>
                <c:ptCount val="14"/>
                <c:pt idx="0">
                  <c:v>159</c:v>
                </c:pt>
                <c:pt idx="1">
                  <c:v>131</c:v>
                </c:pt>
                <c:pt idx="2">
                  <c:v>114</c:v>
                </c:pt>
                <c:pt idx="3">
                  <c:v>108</c:v>
                </c:pt>
                <c:pt idx="4">
                  <c:v>108</c:v>
                </c:pt>
                <c:pt idx="5">
                  <c:v>108</c:v>
                </c:pt>
                <c:pt idx="6">
                  <c:v>108</c:v>
                </c:pt>
                <c:pt idx="7">
                  <c:v>108</c:v>
                </c:pt>
                <c:pt idx="8">
                  <c:v>90</c:v>
                </c:pt>
                <c:pt idx="9">
                  <c:v>65</c:v>
                </c:pt>
                <c:pt idx="10">
                  <c:v>43</c:v>
                </c:pt>
                <c:pt idx="11">
                  <c:v>24</c:v>
                </c:pt>
                <c:pt idx="12">
                  <c:v>10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2F-4F20-9C6F-A01061304B17}"/>
            </c:ext>
          </c:extLst>
        </c:ser>
        <c:ser>
          <c:idx val="1"/>
          <c:order val="1"/>
          <c:tx>
            <c:strRef>
              <c:f>Burndown!$A$35</c:f>
              <c:strCache>
                <c:ptCount val="1"/>
                <c:pt idx="0">
                  <c:v>Horas estimadas de producto por realizar</c:v>
                </c:pt>
              </c:strCache>
            </c:strRef>
          </c:tx>
          <c:spPr>
            <a:ln>
              <a:prstDash val="dash"/>
            </a:ln>
          </c:spPr>
          <c:marker>
            <c:symbol val="none"/>
          </c:marker>
          <c:cat>
            <c:strRef>
              <c:f>Burndown!$B$33:$O$33</c:f>
              <c:strCache>
                <c:ptCount val="14"/>
                <c:pt idx="0">
                  <c:v>Inicio</c:v>
                </c:pt>
                <c:pt idx="1">
                  <c:v>29-sep</c:v>
                </c:pt>
                <c:pt idx="2">
                  <c:v>30-sep</c:v>
                </c:pt>
                <c:pt idx="3">
                  <c:v>01-oct</c:v>
                </c:pt>
                <c:pt idx="4">
                  <c:v>02-oct</c:v>
                </c:pt>
                <c:pt idx="5">
                  <c:v>05-oct</c:v>
                </c:pt>
                <c:pt idx="6">
                  <c:v>06-oct</c:v>
                </c:pt>
                <c:pt idx="7">
                  <c:v>07-oct</c:v>
                </c:pt>
                <c:pt idx="8">
                  <c:v>08-oct</c:v>
                </c:pt>
                <c:pt idx="9">
                  <c:v>09-oct</c:v>
                </c:pt>
                <c:pt idx="10">
                  <c:v>10-oct</c:v>
                </c:pt>
                <c:pt idx="11">
                  <c:v>13-oct</c:v>
                </c:pt>
                <c:pt idx="12">
                  <c:v>14-oct</c:v>
                </c:pt>
                <c:pt idx="13">
                  <c:v>15-oct</c:v>
                </c:pt>
              </c:strCache>
            </c:strRef>
          </c:cat>
          <c:val>
            <c:numRef>
              <c:f>Burndown!$B$35:$O$35</c:f>
              <c:numCache>
                <c:formatCode>General</c:formatCode>
                <c:ptCount val="14"/>
                <c:pt idx="0">
                  <c:v>159</c:v>
                </c:pt>
                <c:pt idx="1">
                  <c:v>146.80000000000001</c:v>
                </c:pt>
                <c:pt idx="2">
                  <c:v>134.5</c:v>
                </c:pt>
                <c:pt idx="3">
                  <c:v>122.3</c:v>
                </c:pt>
                <c:pt idx="4">
                  <c:v>110.1</c:v>
                </c:pt>
                <c:pt idx="5">
                  <c:v>97.8</c:v>
                </c:pt>
                <c:pt idx="6">
                  <c:v>85.6</c:v>
                </c:pt>
                <c:pt idx="7">
                  <c:v>73.400000000000006</c:v>
                </c:pt>
                <c:pt idx="8">
                  <c:v>61.2</c:v>
                </c:pt>
                <c:pt idx="9">
                  <c:v>48.9</c:v>
                </c:pt>
                <c:pt idx="10">
                  <c:v>36.700000000000003</c:v>
                </c:pt>
                <c:pt idx="11">
                  <c:v>24.5</c:v>
                </c:pt>
                <c:pt idx="12">
                  <c:v>12.2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2F-4F20-9C6F-A01061304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CL"/>
                  <a:t>Día del sprint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L"/>
                  <a:t>Horas restantes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37</xdr:row>
      <xdr:rowOff>0</xdr:rowOff>
    </xdr:from>
    <xdr:ext cx="792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5"/>
  <sheetViews>
    <sheetView tabSelected="1" zoomScale="72" zoomScaleNormal="72" workbookViewId="0">
      <pane xSplit="2" ySplit="4" topLeftCell="C11" activePane="bottomRight" state="frozen"/>
      <selection pane="topRight"/>
      <selection pane="bottomLeft"/>
      <selection pane="bottomRight" activeCell="P36" sqref="P36"/>
    </sheetView>
  </sheetViews>
  <sheetFormatPr baseColWidth="10" defaultColWidth="8.7265625" defaultRowHeight="14.5" x14ac:dyDescent="0.35"/>
  <cols>
    <col min="1" max="1" width="58" customWidth="1"/>
    <col min="2" max="2" width="14.7265625" bestFit="1" customWidth="1"/>
    <col min="3" max="16" width="9" customWidth="1"/>
  </cols>
  <sheetData>
    <row r="1" spans="1:16" ht="21" x14ac:dyDescent="0.5">
      <c r="A1" s="1" t="s">
        <v>0</v>
      </c>
    </row>
    <row r="2" spans="1:16" ht="45" customHeight="1" x14ac:dyDescent="0.35">
      <c r="A2" s="9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4" spans="1:16" ht="30" customHeight="1" x14ac:dyDescent="0.35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</row>
    <row r="5" spans="1:16" x14ac:dyDescent="0.35">
      <c r="A5" s="3" t="s">
        <v>18</v>
      </c>
      <c r="B5" s="4">
        <v>16</v>
      </c>
      <c r="C5" s="5">
        <v>16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4">
        <f t="shared" ref="P5:P30" si="0">SUM(C5:O5)</f>
        <v>16</v>
      </c>
    </row>
    <row r="6" spans="1:16" ht="26" x14ac:dyDescent="0.35">
      <c r="A6" s="3" t="s">
        <v>19</v>
      </c>
      <c r="B6" s="4">
        <v>8</v>
      </c>
      <c r="C6" s="5">
        <v>8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4">
        <f t="shared" si="0"/>
        <v>8</v>
      </c>
    </row>
    <row r="7" spans="1:16" x14ac:dyDescent="0.35">
      <c r="A7" s="3" t="s">
        <v>20</v>
      </c>
      <c r="B7" s="4">
        <v>4</v>
      </c>
      <c r="C7" s="5">
        <v>4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4">
        <f t="shared" si="0"/>
        <v>4</v>
      </c>
    </row>
    <row r="8" spans="1:16" ht="26" x14ac:dyDescent="0.35">
      <c r="A8" s="3" t="s">
        <v>21</v>
      </c>
      <c r="B8" s="4">
        <v>6</v>
      </c>
      <c r="C8" s="5">
        <v>0</v>
      </c>
      <c r="D8" s="5">
        <v>6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4">
        <f t="shared" si="0"/>
        <v>6</v>
      </c>
    </row>
    <row r="9" spans="1:16" x14ac:dyDescent="0.35">
      <c r="A9" s="3" t="s">
        <v>22</v>
      </c>
      <c r="B9" s="4">
        <v>6</v>
      </c>
      <c r="C9" s="5">
        <v>0</v>
      </c>
      <c r="D9" s="5">
        <v>6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4">
        <f t="shared" si="0"/>
        <v>6</v>
      </c>
    </row>
    <row r="10" spans="1:16" x14ac:dyDescent="0.35">
      <c r="A10" s="3" t="s">
        <v>23</v>
      </c>
      <c r="B10" s="4">
        <v>5</v>
      </c>
      <c r="C10" s="5">
        <v>0</v>
      </c>
      <c r="D10" s="5">
        <v>5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4">
        <f t="shared" si="0"/>
        <v>5</v>
      </c>
    </row>
    <row r="11" spans="1:16" x14ac:dyDescent="0.35">
      <c r="A11" s="3" t="s">
        <v>24</v>
      </c>
      <c r="B11" s="4">
        <v>3</v>
      </c>
      <c r="C11" s="5">
        <v>0</v>
      </c>
      <c r="D11" s="5">
        <v>0</v>
      </c>
      <c r="E11" s="5">
        <v>3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4">
        <f t="shared" si="0"/>
        <v>3</v>
      </c>
    </row>
    <row r="12" spans="1:16" x14ac:dyDescent="0.35">
      <c r="A12" s="3" t="s">
        <v>25</v>
      </c>
      <c r="B12" s="4">
        <v>3</v>
      </c>
      <c r="C12" s="5">
        <v>0</v>
      </c>
      <c r="D12" s="5">
        <v>0</v>
      </c>
      <c r="E12" s="5">
        <v>3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4">
        <f t="shared" si="0"/>
        <v>3</v>
      </c>
    </row>
    <row r="13" spans="1:16" x14ac:dyDescent="0.35">
      <c r="A13" s="3" t="s">
        <v>26</v>
      </c>
      <c r="B13" s="4">
        <v>3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3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4">
        <f t="shared" si="0"/>
        <v>3</v>
      </c>
    </row>
    <row r="14" spans="1:16" x14ac:dyDescent="0.35">
      <c r="A14" s="3" t="s">
        <v>27</v>
      </c>
      <c r="B14" s="4">
        <v>3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3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4">
        <f t="shared" si="0"/>
        <v>3</v>
      </c>
    </row>
    <row r="15" spans="1:16" x14ac:dyDescent="0.35">
      <c r="A15" s="3" t="s">
        <v>28</v>
      </c>
      <c r="B15" s="4">
        <v>12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12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4">
        <f t="shared" si="0"/>
        <v>12</v>
      </c>
    </row>
    <row r="16" spans="1:16" x14ac:dyDescent="0.35">
      <c r="A16" s="3" t="s">
        <v>29</v>
      </c>
      <c r="B16" s="4">
        <v>3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3</v>
      </c>
      <c r="L16" s="5">
        <v>0</v>
      </c>
      <c r="M16" s="5">
        <v>0</v>
      </c>
      <c r="N16" s="5">
        <v>0</v>
      </c>
      <c r="O16" s="5">
        <v>0</v>
      </c>
      <c r="P16" s="4">
        <f t="shared" si="0"/>
        <v>3</v>
      </c>
    </row>
    <row r="17" spans="1:16" x14ac:dyDescent="0.35">
      <c r="A17" s="3" t="s">
        <v>30</v>
      </c>
      <c r="B17" s="4">
        <v>6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6</v>
      </c>
      <c r="L17" s="5">
        <v>0</v>
      </c>
      <c r="M17" s="5">
        <v>0</v>
      </c>
      <c r="N17" s="5">
        <v>0</v>
      </c>
      <c r="O17" s="5">
        <v>0</v>
      </c>
      <c r="P17" s="4">
        <f t="shared" si="0"/>
        <v>6</v>
      </c>
    </row>
    <row r="18" spans="1:16" x14ac:dyDescent="0.35">
      <c r="A18" s="3" t="s">
        <v>31</v>
      </c>
      <c r="B18" s="4">
        <v>8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8</v>
      </c>
      <c r="L18" s="5">
        <v>0</v>
      </c>
      <c r="M18" s="5">
        <v>0</v>
      </c>
      <c r="N18" s="5">
        <v>0</v>
      </c>
      <c r="O18" s="5">
        <v>0</v>
      </c>
      <c r="P18" s="4">
        <f t="shared" si="0"/>
        <v>8</v>
      </c>
    </row>
    <row r="19" spans="1:16" x14ac:dyDescent="0.35">
      <c r="A19" s="3" t="s">
        <v>32</v>
      </c>
      <c r="B19" s="4">
        <v>8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8</v>
      </c>
      <c r="L19" s="5">
        <v>0</v>
      </c>
      <c r="M19" s="5">
        <v>0</v>
      </c>
      <c r="N19" s="5">
        <v>0</v>
      </c>
      <c r="O19" s="5">
        <v>0</v>
      </c>
      <c r="P19" s="4">
        <f t="shared" si="0"/>
        <v>8</v>
      </c>
    </row>
    <row r="20" spans="1:16" x14ac:dyDescent="0.35">
      <c r="A20" s="3" t="s">
        <v>33</v>
      </c>
      <c r="B20" s="4">
        <v>10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10</v>
      </c>
      <c r="M20" s="5">
        <v>0</v>
      </c>
      <c r="N20" s="5">
        <v>0</v>
      </c>
      <c r="O20" s="5">
        <v>0</v>
      </c>
      <c r="P20" s="4">
        <f t="shared" si="0"/>
        <v>10</v>
      </c>
    </row>
    <row r="21" spans="1:16" x14ac:dyDescent="0.35">
      <c r="A21" s="3" t="s">
        <v>34</v>
      </c>
      <c r="B21" s="4">
        <v>6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6</v>
      </c>
      <c r="M21" s="5">
        <v>0</v>
      </c>
      <c r="N21" s="5">
        <v>0</v>
      </c>
      <c r="O21" s="5">
        <v>0</v>
      </c>
      <c r="P21" s="4">
        <f t="shared" si="0"/>
        <v>6</v>
      </c>
    </row>
    <row r="22" spans="1:16" x14ac:dyDescent="0.35">
      <c r="A22" s="3" t="s">
        <v>35</v>
      </c>
      <c r="B22" s="4">
        <v>6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6</v>
      </c>
      <c r="M22" s="5">
        <v>0</v>
      </c>
      <c r="N22" s="5">
        <v>0</v>
      </c>
      <c r="O22" s="5">
        <v>0</v>
      </c>
      <c r="P22" s="4">
        <f t="shared" si="0"/>
        <v>6</v>
      </c>
    </row>
    <row r="23" spans="1:16" x14ac:dyDescent="0.35">
      <c r="A23" s="3" t="s">
        <v>36</v>
      </c>
      <c r="B23" s="4">
        <v>6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6</v>
      </c>
      <c r="N23" s="5">
        <v>0</v>
      </c>
      <c r="O23" s="5">
        <v>0</v>
      </c>
      <c r="P23" s="4">
        <f t="shared" si="0"/>
        <v>6</v>
      </c>
    </row>
    <row r="24" spans="1:16" x14ac:dyDescent="0.35">
      <c r="A24" s="3" t="s">
        <v>37</v>
      </c>
      <c r="B24" s="4">
        <v>8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8</v>
      </c>
      <c r="N24" s="5">
        <v>0</v>
      </c>
      <c r="O24" s="5">
        <v>0</v>
      </c>
      <c r="P24" s="4">
        <f t="shared" si="0"/>
        <v>8</v>
      </c>
    </row>
    <row r="25" spans="1:16" x14ac:dyDescent="0.35">
      <c r="A25" s="3" t="s">
        <v>38</v>
      </c>
      <c r="B25" s="4">
        <v>2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2</v>
      </c>
      <c r="N25" s="5">
        <v>0</v>
      </c>
      <c r="O25" s="5">
        <v>0</v>
      </c>
      <c r="P25" s="4">
        <f t="shared" si="0"/>
        <v>2</v>
      </c>
    </row>
    <row r="26" spans="1:16" x14ac:dyDescent="0.35">
      <c r="A26" s="3" t="s">
        <v>39</v>
      </c>
      <c r="B26" s="4">
        <v>5</v>
      </c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3</v>
      </c>
      <c r="N26" s="5">
        <v>2</v>
      </c>
      <c r="O26" s="5">
        <v>0</v>
      </c>
      <c r="P26" s="4">
        <f t="shared" si="0"/>
        <v>5</v>
      </c>
    </row>
    <row r="27" spans="1:16" x14ac:dyDescent="0.35">
      <c r="A27" s="3" t="s">
        <v>40</v>
      </c>
      <c r="B27" s="4">
        <v>4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4</v>
      </c>
      <c r="O27" s="5">
        <v>0</v>
      </c>
      <c r="P27" s="4">
        <f t="shared" si="0"/>
        <v>4</v>
      </c>
    </row>
    <row r="28" spans="1:16" x14ac:dyDescent="0.35">
      <c r="A28" s="3" t="s">
        <v>41</v>
      </c>
      <c r="B28" s="4">
        <v>8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8</v>
      </c>
      <c r="O28" s="5">
        <v>0</v>
      </c>
      <c r="P28" s="4">
        <f t="shared" si="0"/>
        <v>8</v>
      </c>
    </row>
    <row r="29" spans="1:16" x14ac:dyDescent="0.35">
      <c r="A29" s="3" t="s">
        <v>42</v>
      </c>
      <c r="B29" s="4">
        <v>6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6</v>
      </c>
      <c r="P29" s="4">
        <f t="shared" si="0"/>
        <v>6</v>
      </c>
    </row>
    <row r="30" spans="1:16" x14ac:dyDescent="0.35">
      <c r="A30" s="3" t="s">
        <v>43</v>
      </c>
      <c r="B30" s="4">
        <v>4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4</v>
      </c>
      <c r="P30" s="4">
        <f t="shared" si="0"/>
        <v>4</v>
      </c>
    </row>
    <row r="31" spans="1:16" x14ac:dyDescent="0.35">
      <c r="A31" s="6" t="s">
        <v>17</v>
      </c>
      <c r="B31" s="6">
        <f t="shared" ref="B31:P31" si="1">SUM(B5:B30)</f>
        <v>159</v>
      </c>
      <c r="C31" s="6">
        <f t="shared" si="1"/>
        <v>28</v>
      </c>
      <c r="D31" s="6">
        <f t="shared" si="1"/>
        <v>17</v>
      </c>
      <c r="E31" s="6">
        <f t="shared" si="1"/>
        <v>6</v>
      </c>
      <c r="F31" s="6">
        <f t="shared" si="1"/>
        <v>0</v>
      </c>
      <c r="G31" s="6">
        <f t="shared" si="1"/>
        <v>0</v>
      </c>
      <c r="H31" s="6">
        <f t="shared" si="1"/>
        <v>0</v>
      </c>
      <c r="I31" s="6">
        <f t="shared" si="1"/>
        <v>0</v>
      </c>
      <c r="J31" s="6">
        <f t="shared" si="1"/>
        <v>18</v>
      </c>
      <c r="K31" s="6">
        <f t="shared" si="1"/>
        <v>25</v>
      </c>
      <c r="L31" s="6">
        <f t="shared" si="1"/>
        <v>22</v>
      </c>
      <c r="M31" s="6">
        <f t="shared" si="1"/>
        <v>19</v>
      </c>
      <c r="N31" s="6">
        <f t="shared" si="1"/>
        <v>14</v>
      </c>
      <c r="O31" s="6">
        <f t="shared" si="1"/>
        <v>10</v>
      </c>
      <c r="P31" s="6">
        <f t="shared" si="1"/>
        <v>159</v>
      </c>
    </row>
    <row r="33" spans="1:15" x14ac:dyDescent="0.35">
      <c r="A33" s="7" t="s">
        <v>44</v>
      </c>
      <c r="B33" s="7" t="s">
        <v>45</v>
      </c>
      <c r="C33" s="7" t="s">
        <v>46</v>
      </c>
      <c r="D33" s="7" t="s">
        <v>47</v>
      </c>
      <c r="E33" s="7" t="s">
        <v>48</v>
      </c>
      <c r="F33" s="7" t="s">
        <v>49</v>
      </c>
      <c r="G33" s="7" t="s">
        <v>50</v>
      </c>
      <c r="H33" s="7" t="s">
        <v>51</v>
      </c>
      <c r="I33" s="7" t="s">
        <v>52</v>
      </c>
      <c r="J33" s="7" t="s">
        <v>53</v>
      </c>
      <c r="K33" s="7" t="s">
        <v>54</v>
      </c>
      <c r="L33" s="7" t="s">
        <v>55</v>
      </c>
      <c r="M33" s="7" t="s">
        <v>56</v>
      </c>
      <c r="N33" s="7" t="s">
        <v>57</v>
      </c>
      <c r="O33" s="7" t="s">
        <v>58</v>
      </c>
    </row>
    <row r="34" spans="1:15" x14ac:dyDescent="0.35">
      <c r="A34" s="8" t="s">
        <v>59</v>
      </c>
      <c r="B34" s="8">
        <f>B31</f>
        <v>159</v>
      </c>
      <c r="C34" s="8">
        <f t="shared" ref="C34:O34" si="2">B34-C31</f>
        <v>131</v>
      </c>
      <c r="D34" s="8">
        <f t="shared" si="2"/>
        <v>114</v>
      </c>
      <c r="E34" s="8">
        <f t="shared" si="2"/>
        <v>108</v>
      </c>
      <c r="F34" s="8">
        <f t="shared" si="2"/>
        <v>108</v>
      </c>
      <c r="G34" s="8">
        <f t="shared" si="2"/>
        <v>108</v>
      </c>
      <c r="H34" s="8">
        <f t="shared" si="2"/>
        <v>108</v>
      </c>
      <c r="I34" s="8">
        <f t="shared" si="2"/>
        <v>108</v>
      </c>
      <c r="J34" s="8">
        <f t="shared" si="2"/>
        <v>90</v>
      </c>
      <c r="K34" s="8">
        <f t="shared" si="2"/>
        <v>65</v>
      </c>
      <c r="L34" s="8">
        <f t="shared" si="2"/>
        <v>43</v>
      </c>
      <c r="M34" s="8">
        <f t="shared" si="2"/>
        <v>24</v>
      </c>
      <c r="N34" s="8">
        <f t="shared" si="2"/>
        <v>10</v>
      </c>
      <c r="O34" s="8">
        <f t="shared" si="2"/>
        <v>0</v>
      </c>
    </row>
    <row r="35" spans="1:15" x14ac:dyDescent="0.35">
      <c r="A35" s="8" t="s">
        <v>60</v>
      </c>
      <c r="B35" s="8">
        <f>B31</f>
        <v>159</v>
      </c>
      <c r="C35" s="8">
        <f>ROUND($B$31-$B$31/13*1,1)</f>
        <v>146.80000000000001</v>
      </c>
      <c r="D35" s="8">
        <f>ROUND($B$31-$B$31/13*2,1)</f>
        <v>134.5</v>
      </c>
      <c r="E35" s="8">
        <f>ROUND($B$31-$B$31/13*3,1)</f>
        <v>122.3</v>
      </c>
      <c r="F35" s="8">
        <f>ROUND($B$31-$B$31/13*4,1)</f>
        <v>110.1</v>
      </c>
      <c r="G35" s="8">
        <f>ROUND($B$31-$B$31/13*5,1)</f>
        <v>97.8</v>
      </c>
      <c r="H35" s="8">
        <f>ROUND($B$31-$B$31/13*6,1)</f>
        <v>85.6</v>
      </c>
      <c r="I35" s="8">
        <f>ROUND($B$31-$B$31/13*7,1)</f>
        <v>73.400000000000006</v>
      </c>
      <c r="J35" s="8">
        <f>ROUND($B$31-$B$31/13*8,1)</f>
        <v>61.2</v>
      </c>
      <c r="K35" s="8">
        <f>ROUND($B$31-$B$31/13*9,1)</f>
        <v>48.9</v>
      </c>
      <c r="L35" s="8">
        <f>ROUND($B$31-$B$31/13*10,1)</f>
        <v>36.700000000000003</v>
      </c>
      <c r="M35" s="8">
        <f>ROUND($B$31-$B$31/13*11,1)</f>
        <v>24.5</v>
      </c>
      <c r="N35" s="8">
        <f>ROUND($B$31-$B$31/13*12,1)</f>
        <v>12.2</v>
      </c>
      <c r="O35" s="8">
        <f>ROUND($B$31-$B$31/13*13,1)</f>
        <v>0</v>
      </c>
    </row>
  </sheetData>
  <mergeCells count="1">
    <mergeCell ref="A2:P2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Admusuario</cp:lastModifiedBy>
  <dcterms:created xsi:type="dcterms:W3CDTF">2026-10-15T02:14:51Z</dcterms:created>
  <dcterms:modified xsi:type="dcterms:W3CDTF">2026-10-15T04:33:38Z</dcterms:modified>
</cp:coreProperties>
</file>