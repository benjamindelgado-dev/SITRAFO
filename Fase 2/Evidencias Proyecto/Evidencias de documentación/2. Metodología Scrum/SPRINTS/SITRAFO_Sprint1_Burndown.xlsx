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rn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i val="1"/>
      <sz val="10"/>
    </font>
    <font>
      <name val="Calibri"/>
      <b val="1"/>
      <sz val="11"/>
    </font>
    <font>
      <name val="Calibri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5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Trabajo Pendiente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'Burndown'!A27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'Burndown'!$B$26:$L$26</f>
            </numRef>
          </cat>
          <val>
            <numRef>
              <f>'Burndown'!$B$27:$L$27</f>
            </numRef>
          </val>
          <smooth val="0"/>
        </ser>
        <ser>
          <idx val="1"/>
          <order val="1"/>
          <tx>
            <strRef>
              <f>'Burndown'!A28</f>
            </strRef>
          </tx>
          <spPr>
            <a:ln xmlns:a="http://schemas.openxmlformats.org/drawingml/2006/main"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'Burndown'!$B$26:$L$26</f>
            </numRef>
          </cat>
          <val>
            <numRef>
              <f>'Burndown'!$B$28:$L$28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Día del 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 restantes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SITRAFO — Control del Sprint 1 (14 al 26 de septiembre de 2026)</t>
        </is>
      </c>
    </row>
    <row r="2" ht="45" customHeight="1">
      <c r="A2" s="2" t="inlineStr">
        <is>
          <t>Reconstruido desde el historial de GitHub (MET-01, secciones 5.2 y 5.3). El desarrollo se hizo en el entorno local y se integró al repositorio el 25 y 26 de septiembre; como no hubo registro diario, las horas se imputan al día de integración. Por eso la curva real se mantiene plana y cae al final: es la desviación que el equipo reconoce y corrige en los sprints siguientes.</t>
        </is>
      </c>
    </row>
    <row r="4" ht="30" customHeight="1">
      <c r="A4" s="3" t="inlineStr">
        <is>
          <t>Tarea</t>
        </is>
      </c>
      <c r="B4" s="3" t="inlineStr">
        <is>
          <t>Horas estimadas</t>
        </is>
      </c>
      <c r="C4" s="3" t="inlineStr">
        <is>
          <t>Día 1
14-sep</t>
        </is>
      </c>
      <c r="D4" s="3" t="inlineStr">
        <is>
          <t>Día 2
15-sep</t>
        </is>
      </c>
      <c r="E4" s="3" t="inlineStr">
        <is>
          <t>Día 3
16-sep</t>
        </is>
      </c>
      <c r="F4" s="3" t="inlineStr">
        <is>
          <t>Día 4
17-sep</t>
        </is>
      </c>
      <c r="G4" s="3" t="inlineStr">
        <is>
          <t>Día 5
21-sep</t>
        </is>
      </c>
      <c r="H4" s="3" t="inlineStr">
        <is>
          <t>Día 6
22-sep</t>
        </is>
      </c>
      <c r="I4" s="3" t="inlineStr">
        <is>
          <t>Día 7
23-sep</t>
        </is>
      </c>
      <c r="J4" s="3" t="inlineStr">
        <is>
          <t>Día 8
24-sep</t>
        </is>
      </c>
      <c r="K4" s="3" t="inlineStr">
        <is>
          <t>Día 9
25-sep</t>
        </is>
      </c>
      <c r="L4" s="3" t="inlineStr">
        <is>
          <t>Día 10
26-sep</t>
        </is>
      </c>
      <c r="M4" s="3" t="inlineStr">
        <is>
          <t>Total</t>
        </is>
      </c>
    </row>
    <row r="5">
      <c r="A5" s="4" t="inlineStr">
        <is>
          <t>E1-H1 (HU-01) Catálogo de productos</t>
        </is>
      </c>
      <c r="B5" s="5" t="n">
        <v>15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15</v>
      </c>
      <c r="L5" s="6" t="n">
        <v>0</v>
      </c>
      <c r="M5" s="5">
        <f>SUM(C5:L5)</f>
        <v/>
      </c>
    </row>
    <row r="6">
      <c r="A6" s="4" t="inlineStr">
        <is>
          <t>E1-H2 (HU-02) Registro de cliente</t>
        </is>
      </c>
      <c r="B6" s="5" t="n">
        <v>9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9</v>
      </c>
      <c r="L6" s="6" t="n">
        <v>0</v>
      </c>
      <c r="M6" s="5">
        <f>SUM(C6:L6)</f>
        <v/>
      </c>
    </row>
    <row r="7">
      <c r="A7" s="4" t="inlineStr">
        <is>
          <t>E2-H1 (HU-03) Solicitud de presupuesto</t>
        </is>
      </c>
      <c r="B7" s="5" t="n">
        <v>15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15</v>
      </c>
      <c r="L7" s="6" t="n">
        <v>0</v>
      </c>
      <c r="M7" s="5">
        <f>SUM(C7:L7)</f>
        <v/>
      </c>
    </row>
    <row r="8">
      <c r="A8" s="4" t="inlineStr">
        <is>
          <t>E2-H2 (HU-04) Generación de cotización</t>
        </is>
      </c>
      <c r="B8" s="5" t="n">
        <v>17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17</v>
      </c>
      <c r="L8" s="6" t="n">
        <v>0</v>
      </c>
      <c r="M8" s="5">
        <f>SUM(C8:L8)</f>
        <v/>
      </c>
    </row>
    <row r="9">
      <c r="A9" s="4" t="inlineStr">
        <is>
          <t>E2-H3 (HU-05) Aceptación de cotización</t>
        </is>
      </c>
      <c r="B9" s="5" t="n">
        <v>8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8</v>
      </c>
      <c r="L9" s="6" t="n">
        <v>0</v>
      </c>
      <c r="M9" s="5">
        <f>SUM(C9:L9)</f>
        <v/>
      </c>
    </row>
    <row r="10">
      <c r="A10" s="4" t="inlineStr">
        <is>
          <t>E8-H1 (HU-12) Auditoría de acciones</t>
        </is>
      </c>
      <c r="B10" s="5" t="n">
        <v>10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10</v>
      </c>
      <c r="L10" s="6" t="n">
        <v>0</v>
      </c>
      <c r="M10" s="5">
        <f>SUM(C10:L10)</f>
        <v/>
      </c>
    </row>
    <row r="11">
      <c r="A11" s="4" t="inlineStr">
        <is>
          <t>E3-H1 (HU-06) Generación de orden de compra</t>
        </is>
      </c>
      <c r="B11" s="5" t="n">
        <v>13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13</v>
      </c>
      <c r="L11" s="6" t="n">
        <v>0</v>
      </c>
      <c r="M11" s="5">
        <f>SUM(C11:L11)</f>
        <v/>
      </c>
    </row>
    <row r="12">
      <c r="A12" s="4" t="inlineStr">
        <is>
          <t>E4-H1 (HU-07) Creación de orden de trabajo</t>
        </is>
      </c>
      <c r="B12" s="5" t="n">
        <v>22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22</v>
      </c>
      <c r="L12" s="6" t="n">
        <v>0</v>
      </c>
      <c r="M12" s="5">
        <f>SUM(C12:L12)</f>
        <v/>
      </c>
    </row>
    <row r="13">
      <c r="A13" s="4" t="inlineStr">
        <is>
          <t>E4-H2 (HU-08) Registro de materiales y horas hombre</t>
        </is>
      </c>
      <c r="B13" s="5" t="n">
        <v>22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22</v>
      </c>
      <c r="L13" s="6" t="n">
        <v>0</v>
      </c>
      <c r="M13" s="5">
        <f>SUM(C13:L13)</f>
        <v/>
      </c>
    </row>
    <row r="14">
      <c r="A14" s="4" t="inlineStr">
        <is>
          <t>E5-H1 (HU-09) Control de calidad</t>
        </is>
      </c>
      <c r="B14" s="5" t="n">
        <v>14</v>
      </c>
      <c r="C14" s="6" t="n">
        <v>0</v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14</v>
      </c>
      <c r="L14" s="6" t="n">
        <v>0</v>
      </c>
      <c r="M14" s="5">
        <f>SUM(C14:L14)</f>
        <v/>
      </c>
    </row>
    <row r="15">
      <c r="A15" s="4" t="inlineStr">
        <is>
          <t>E6-H1 (HU-10) Stock disponible</t>
        </is>
      </c>
      <c r="B15" s="5" t="n">
        <v>14</v>
      </c>
      <c r="C15" s="6" t="n">
        <v>0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14</v>
      </c>
      <c r="L15" s="6" t="n">
        <v>0</v>
      </c>
      <c r="M15" s="5">
        <f>SUM(C15:L15)</f>
        <v/>
      </c>
    </row>
    <row r="16">
      <c r="A16" s="4" t="inlineStr">
        <is>
          <t>E7-H1 (HU-11) Pago en línea</t>
        </is>
      </c>
      <c r="B16" s="5" t="n">
        <v>14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14</v>
      </c>
      <c r="L16" s="6" t="n">
        <v>0</v>
      </c>
      <c r="M16" s="5">
        <f>SUM(C16:L16)</f>
        <v/>
      </c>
    </row>
    <row r="17">
      <c r="A17" s="4" t="inlineStr">
        <is>
          <t>E9-H1 (HU-13) Modo mantenimiento</t>
        </is>
      </c>
      <c r="B17" s="5" t="n">
        <v>8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8</v>
      </c>
      <c r="L17" s="6" t="n">
        <v>0</v>
      </c>
      <c r="M17" s="5">
        <f>SUM(C17:L17)</f>
        <v/>
      </c>
    </row>
    <row r="18">
      <c r="A18" s="4" t="inlineStr">
        <is>
          <t>E9-H2 (HU-14) Aprobación de cotizaciones</t>
        </is>
      </c>
      <c r="B18" s="5" t="n">
        <v>14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14</v>
      </c>
      <c r="L18" s="6" t="n">
        <v>0</v>
      </c>
      <c r="M18" s="5">
        <f>SUM(C18:L18)</f>
        <v/>
      </c>
    </row>
    <row r="19">
      <c r="A19" s="4" t="inlineStr">
        <is>
          <t>T-05 Documentar arquitectura y matriz de permisos (saldo)</t>
        </is>
      </c>
      <c r="B19" s="5" t="n">
        <v>2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2</v>
      </c>
      <c r="L19" s="6" t="n">
        <v>0</v>
      </c>
      <c r="M19" s="5">
        <f>SUM(C19:L19)</f>
        <v/>
      </c>
    </row>
    <row r="20">
      <c r="A20" s="4" t="inlineStr">
        <is>
          <t>T-06 Repositorio y estructura del proyecto (saldo)</t>
        </is>
      </c>
      <c r="B20" s="5" t="n">
        <v>1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1</v>
      </c>
      <c r="L20" s="6" t="n">
        <v>0</v>
      </c>
      <c r="M20" s="5">
        <f>SUM(C20:L20)</f>
        <v/>
      </c>
    </row>
    <row r="21">
      <c r="A21" s="4" t="inlineStr">
        <is>
          <t>T-07 Entorno de desarrollo con Docker y PostgreSQL</t>
        </is>
      </c>
      <c r="B21" s="5" t="n">
        <v>8</v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8</v>
      </c>
      <c r="L21" s="6" t="n">
        <v>0</v>
      </c>
      <c r="M21" s="5">
        <f>SUM(C21:L21)</f>
        <v/>
      </c>
    </row>
    <row r="22">
      <c r="A22" s="4" t="inlineStr">
        <is>
          <t>T-08 Pipeline de integración continua en GitHub Actions</t>
        </is>
      </c>
      <c r="B22" s="5" t="n">
        <v>6</v>
      </c>
      <c r="C22" s="6" t="n">
        <v>0</v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4</v>
      </c>
      <c r="L22" s="6" t="n">
        <v>2</v>
      </c>
      <c r="M22" s="5">
        <f>SUM(C22:L22)</f>
        <v/>
      </c>
    </row>
    <row r="23">
      <c r="A23" s="4" t="inlineStr">
        <is>
          <t>T-10 Product backlog con criterios de aceptación</t>
        </is>
      </c>
      <c r="B23" s="5" t="n">
        <v>9</v>
      </c>
      <c r="C23" s="6" t="n">
        <v>0</v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9</v>
      </c>
      <c r="L23" s="6" t="n">
        <v>0</v>
      </c>
      <c r="M23" s="5">
        <f>SUM(C23:L23)</f>
        <v/>
      </c>
    </row>
    <row r="24">
      <c r="A24" s="7" t="inlineStr">
        <is>
          <t>Total</t>
        </is>
      </c>
      <c r="B24" s="7">
        <f>SUM(B5:B23)</f>
        <v/>
      </c>
      <c r="C24" s="7">
        <f>SUM(C5:C23)</f>
        <v/>
      </c>
      <c r="D24" s="7">
        <f>SUM(D5:D23)</f>
        <v/>
      </c>
      <c r="E24" s="7">
        <f>SUM(E5:E23)</f>
        <v/>
      </c>
      <c r="F24" s="7">
        <f>SUM(F5:F23)</f>
        <v/>
      </c>
      <c r="G24" s="7">
        <f>SUM(G5:G23)</f>
        <v/>
      </c>
      <c r="H24" s="7">
        <f>SUM(H5:H23)</f>
        <v/>
      </c>
      <c r="I24" s="7">
        <f>SUM(I5:I23)</f>
        <v/>
      </c>
      <c r="J24" s="7">
        <f>SUM(J5:J23)</f>
        <v/>
      </c>
      <c r="K24" s="7">
        <f>SUM(K5:K23)</f>
        <v/>
      </c>
      <c r="L24" s="7">
        <f>SUM(L5:L23)</f>
        <v/>
      </c>
      <c r="M24" s="7">
        <f>SUM(M5:M23)</f>
        <v/>
      </c>
    </row>
    <row r="26">
      <c r="A26" s="8" t="inlineStr">
        <is>
          <t>Día</t>
        </is>
      </c>
      <c r="B26" s="8" t="inlineStr">
        <is>
          <t>Inicio</t>
        </is>
      </c>
      <c r="C26" s="8" t="inlineStr">
        <is>
          <t>14-sep</t>
        </is>
      </c>
      <c r="D26" s="8" t="inlineStr">
        <is>
          <t>15-sep</t>
        </is>
      </c>
      <c r="E26" s="8" t="inlineStr">
        <is>
          <t>16-sep</t>
        </is>
      </c>
      <c r="F26" s="8" t="inlineStr">
        <is>
          <t>17-sep</t>
        </is>
      </c>
      <c r="G26" s="8" t="inlineStr">
        <is>
          <t>21-sep</t>
        </is>
      </c>
      <c r="H26" s="8" t="inlineStr">
        <is>
          <t>22-sep</t>
        </is>
      </c>
      <c r="I26" s="8" t="inlineStr">
        <is>
          <t>23-sep</t>
        </is>
      </c>
      <c r="J26" s="8" t="inlineStr">
        <is>
          <t>24-sep</t>
        </is>
      </c>
      <c r="K26" s="8" t="inlineStr">
        <is>
          <t>25-sep</t>
        </is>
      </c>
      <c r="L26" s="8" t="inlineStr">
        <is>
          <t>26-sep</t>
        </is>
      </c>
    </row>
    <row r="27">
      <c r="A27" s="9" t="inlineStr">
        <is>
          <t>Horas reales de producto por realizar</t>
        </is>
      </c>
      <c r="B27" s="9">
        <f>B24</f>
        <v/>
      </c>
      <c r="C27" s="9">
        <f>B27-C24</f>
        <v/>
      </c>
      <c r="D27" s="9">
        <f>C27-D24</f>
        <v/>
      </c>
      <c r="E27" s="9">
        <f>D27-E24</f>
        <v/>
      </c>
      <c r="F27" s="9">
        <f>E27-F24</f>
        <v/>
      </c>
      <c r="G27" s="9">
        <f>F27-G24</f>
        <v/>
      </c>
      <c r="H27" s="9">
        <f>G27-H24</f>
        <v/>
      </c>
      <c r="I27" s="9">
        <f>H27-I24</f>
        <v/>
      </c>
      <c r="J27" s="9">
        <f>I27-J24</f>
        <v/>
      </c>
      <c r="K27" s="9">
        <f>J27-K24</f>
        <v/>
      </c>
      <c r="L27" s="9">
        <f>K27-L24</f>
        <v/>
      </c>
    </row>
    <row r="28">
      <c r="A28" s="9" t="inlineStr">
        <is>
          <t>Horas estimadas de producto por realizar</t>
        </is>
      </c>
      <c r="B28" s="9">
        <f>B24</f>
        <v/>
      </c>
      <c r="C28" s="9">
        <f>ROUND($B$24-$B$24/10*1,1)</f>
        <v/>
      </c>
      <c r="D28" s="9">
        <f>ROUND($B$24-$B$24/10*2,1)</f>
        <v/>
      </c>
      <c r="E28" s="9">
        <f>ROUND($B$24-$B$24/10*3,1)</f>
        <v/>
      </c>
      <c r="F28" s="9">
        <f>ROUND($B$24-$B$24/10*4,1)</f>
        <v/>
      </c>
      <c r="G28" s="9">
        <f>ROUND($B$24-$B$24/10*5,1)</f>
        <v/>
      </c>
      <c r="H28" s="9">
        <f>ROUND($B$24-$B$24/10*6,1)</f>
        <v/>
      </c>
      <c r="I28" s="9">
        <f>ROUND($B$24-$B$24/10*7,1)</f>
        <v/>
      </c>
      <c r="J28" s="9">
        <f>ROUND($B$24-$B$24/10*8,1)</f>
        <v/>
      </c>
      <c r="K28" s="9">
        <f>ROUND($B$24-$B$24/10*9,1)</f>
        <v/>
      </c>
      <c r="L28" s="9">
        <f>ROUND($B$24-$B$24/10*10,1)</f>
        <v/>
      </c>
    </row>
  </sheetData>
  <mergeCells count="1">
    <mergeCell ref="A2:M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2026-10-15T02:14:51Z</dcterms:created>
  <dcterms:modified xmlns:dcterms="http://purl.org/dc/terms/" xmlns:xsi="http://www.w3.org/2001/XMLSchema-instance" xsi:type="dcterms:W3CDTF">2026-10-15T02:14:51Z</dcterms:modified>
</cp:coreProperties>
</file>