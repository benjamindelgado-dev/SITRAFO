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dmusuario\Documents\SITRAFO\Fase 2\Evidencias Proyecto\Evidencias de documentación\2. Metodología Scrum\SPRINTS\"/>
    </mc:Choice>
  </mc:AlternateContent>
  <xr:revisionPtr revIDLastSave="0" documentId="13_ncr:1_{85C68DF5-8F6D-45C7-AF34-155B70AA54DA}" xr6:coauthVersionLast="47" xr6:coauthVersionMax="47" xr10:uidLastSave="{00000000-0000-0000-0000-000000000000}"/>
  <bookViews>
    <workbookView xWindow="-110" yWindow="-110" windowWidth="19420" windowHeight="10560" tabRatio="500" xr2:uid="{00000000-000D-0000-FFFF-FFFF00000000}"/>
  </bookViews>
  <sheets>
    <sheet name="Sprint Backlog" sheetId="1" r:id="rId1"/>
    <sheet name="Instructivo" sheetId="2" r:id="rId2"/>
  </sheets>
  <definedNames>
    <definedName name="_xlnm.Print_Area" localSheetId="1">Instructivo!$A$1:$D$15</definedName>
    <definedName name="_xlnm.Print_Area" localSheetId="0">'Sprint Backlog'!$A$1:$BR$20</definedName>
    <definedName name="_xlnm.Print_Titles" localSheetId="0">'Sprint Backlog'!$1:$5,'Sprint Backlog'!$B:$F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Q19" i="1" l="1"/>
  <c r="G19" i="1"/>
  <c r="B6" i="2"/>
  <c r="B5" i="2"/>
  <c r="BM19" i="1"/>
  <c r="BJ19" i="1"/>
  <c r="BG19" i="1"/>
  <c r="BD19" i="1"/>
  <c r="BA19" i="1"/>
  <c r="AX19" i="1"/>
  <c r="AU19" i="1"/>
  <c r="AR19" i="1"/>
  <c r="AO19" i="1"/>
  <c r="AL19" i="1"/>
  <c r="AI19" i="1"/>
  <c r="AF19" i="1"/>
  <c r="AC19" i="1"/>
  <c r="Z19" i="1"/>
  <c r="W19" i="1"/>
  <c r="T19" i="1"/>
  <c r="Q19" i="1"/>
  <c r="N19" i="1"/>
  <c r="K19" i="1"/>
  <c r="H19" i="1"/>
  <c r="BP17" i="1"/>
  <c r="BQ17" i="1" s="1"/>
  <c r="I17" i="1"/>
  <c r="L17" i="1" s="1"/>
  <c r="O17" i="1" s="1"/>
  <c r="R17" i="1" s="1"/>
  <c r="U17" i="1" s="1"/>
  <c r="X17" i="1" s="1"/>
  <c r="AA17" i="1" s="1"/>
  <c r="AD17" i="1" s="1"/>
  <c r="AG17" i="1" s="1"/>
  <c r="AJ17" i="1" s="1"/>
  <c r="AM17" i="1" s="1"/>
  <c r="AP17" i="1" s="1"/>
  <c r="AS17" i="1" s="1"/>
  <c r="AV17" i="1" s="1"/>
  <c r="AY17" i="1" s="1"/>
  <c r="BB17" i="1" s="1"/>
  <c r="BE17" i="1" s="1"/>
  <c r="BH17" i="1" s="1"/>
  <c r="BK17" i="1" s="1"/>
  <c r="BN17" i="1" s="1"/>
  <c r="BP16" i="1"/>
  <c r="BQ16" i="1" s="1"/>
  <c r="I16" i="1"/>
  <c r="L16" i="1" s="1"/>
  <c r="O16" i="1" s="1"/>
  <c r="R16" i="1" s="1"/>
  <c r="U16" i="1" s="1"/>
  <c r="X16" i="1" s="1"/>
  <c r="AA16" i="1" s="1"/>
  <c r="AD16" i="1" s="1"/>
  <c r="AG16" i="1" s="1"/>
  <c r="AJ16" i="1" s="1"/>
  <c r="AM16" i="1" s="1"/>
  <c r="AP16" i="1" s="1"/>
  <c r="AS16" i="1" s="1"/>
  <c r="AV16" i="1" s="1"/>
  <c r="AY16" i="1" s="1"/>
  <c r="BB16" i="1" s="1"/>
  <c r="BE16" i="1" s="1"/>
  <c r="BH16" i="1" s="1"/>
  <c r="BK16" i="1" s="1"/>
  <c r="BN16" i="1" s="1"/>
  <c r="BP15" i="1"/>
  <c r="BQ15" i="1" s="1"/>
  <c r="I15" i="1"/>
  <c r="L15" i="1" s="1"/>
  <c r="O15" i="1" s="1"/>
  <c r="R15" i="1" s="1"/>
  <c r="U15" i="1" s="1"/>
  <c r="X15" i="1" s="1"/>
  <c r="AA15" i="1" s="1"/>
  <c r="AD15" i="1" s="1"/>
  <c r="AG15" i="1" s="1"/>
  <c r="AJ15" i="1" s="1"/>
  <c r="AM15" i="1" s="1"/>
  <c r="AP15" i="1" s="1"/>
  <c r="AS15" i="1" s="1"/>
  <c r="AV15" i="1" s="1"/>
  <c r="AY15" i="1" s="1"/>
  <c r="BB15" i="1" s="1"/>
  <c r="BE15" i="1" s="1"/>
  <c r="BH15" i="1" s="1"/>
  <c r="BK15" i="1" s="1"/>
  <c r="BN15" i="1" s="1"/>
  <c r="BP14" i="1"/>
  <c r="BQ14" i="1" s="1"/>
  <c r="I14" i="1"/>
  <c r="L14" i="1" s="1"/>
  <c r="O14" i="1" s="1"/>
  <c r="R14" i="1" s="1"/>
  <c r="U14" i="1" s="1"/>
  <c r="X14" i="1" s="1"/>
  <c r="AA14" i="1" s="1"/>
  <c r="AD14" i="1" s="1"/>
  <c r="AG14" i="1" s="1"/>
  <c r="AJ14" i="1" s="1"/>
  <c r="AM14" i="1" s="1"/>
  <c r="AP14" i="1" s="1"/>
  <c r="AS14" i="1" s="1"/>
  <c r="AV14" i="1" s="1"/>
  <c r="AY14" i="1" s="1"/>
  <c r="BB14" i="1" s="1"/>
  <c r="BE14" i="1" s="1"/>
  <c r="BH14" i="1" s="1"/>
  <c r="BK14" i="1" s="1"/>
  <c r="BN14" i="1" s="1"/>
  <c r="BQ13" i="1"/>
  <c r="BP13" i="1"/>
  <c r="I13" i="1"/>
  <c r="L13" i="1" s="1"/>
  <c r="O13" i="1" s="1"/>
  <c r="R13" i="1" s="1"/>
  <c r="U13" i="1" s="1"/>
  <c r="X13" i="1" s="1"/>
  <c r="AA13" i="1" s="1"/>
  <c r="AD13" i="1" s="1"/>
  <c r="AG13" i="1" s="1"/>
  <c r="AJ13" i="1" s="1"/>
  <c r="AM13" i="1" s="1"/>
  <c r="AP13" i="1" s="1"/>
  <c r="AS13" i="1" s="1"/>
  <c r="AV13" i="1" s="1"/>
  <c r="AY13" i="1" s="1"/>
  <c r="BB13" i="1" s="1"/>
  <c r="BE13" i="1" s="1"/>
  <c r="BH13" i="1" s="1"/>
  <c r="BK13" i="1" s="1"/>
  <c r="BN13" i="1" s="1"/>
  <c r="BP12" i="1"/>
  <c r="BQ12" i="1" s="1"/>
  <c r="I12" i="1"/>
  <c r="L12" i="1" s="1"/>
  <c r="O12" i="1" s="1"/>
  <c r="R12" i="1" s="1"/>
  <c r="U12" i="1" s="1"/>
  <c r="X12" i="1" s="1"/>
  <c r="AA12" i="1" s="1"/>
  <c r="AD12" i="1" s="1"/>
  <c r="AG12" i="1" s="1"/>
  <c r="AJ12" i="1" s="1"/>
  <c r="AM12" i="1" s="1"/>
  <c r="AP12" i="1" s="1"/>
  <c r="AS12" i="1" s="1"/>
  <c r="AV12" i="1" s="1"/>
  <c r="AY12" i="1" s="1"/>
  <c r="BB12" i="1" s="1"/>
  <c r="BE12" i="1" s="1"/>
  <c r="BH12" i="1" s="1"/>
  <c r="BK12" i="1" s="1"/>
  <c r="BN12" i="1" s="1"/>
  <c r="BP11" i="1"/>
  <c r="BQ11" i="1" s="1"/>
  <c r="I11" i="1"/>
  <c r="L11" i="1" s="1"/>
  <c r="O11" i="1" s="1"/>
  <c r="R11" i="1" s="1"/>
  <c r="U11" i="1" s="1"/>
  <c r="X11" i="1" s="1"/>
  <c r="AA11" i="1" s="1"/>
  <c r="AD11" i="1" s="1"/>
  <c r="AG11" i="1" s="1"/>
  <c r="AJ11" i="1" s="1"/>
  <c r="AM11" i="1" s="1"/>
  <c r="AP11" i="1" s="1"/>
  <c r="AS11" i="1" s="1"/>
  <c r="AV11" i="1" s="1"/>
  <c r="AY11" i="1" s="1"/>
  <c r="BB11" i="1" s="1"/>
  <c r="BE11" i="1" s="1"/>
  <c r="BH11" i="1" s="1"/>
  <c r="BK11" i="1" s="1"/>
  <c r="BN11" i="1" s="1"/>
  <c r="BP10" i="1"/>
  <c r="BQ10" i="1" s="1"/>
  <c r="I10" i="1"/>
  <c r="L10" i="1" s="1"/>
  <c r="O10" i="1" s="1"/>
  <c r="R10" i="1" s="1"/>
  <c r="U10" i="1" s="1"/>
  <c r="X10" i="1" s="1"/>
  <c r="AA10" i="1" s="1"/>
  <c r="AD10" i="1" s="1"/>
  <c r="AG10" i="1" s="1"/>
  <c r="AJ10" i="1" s="1"/>
  <c r="AM10" i="1" s="1"/>
  <c r="AP10" i="1" s="1"/>
  <c r="AS10" i="1" s="1"/>
  <c r="AV10" i="1" s="1"/>
  <c r="AY10" i="1" s="1"/>
  <c r="BB10" i="1" s="1"/>
  <c r="BE10" i="1" s="1"/>
  <c r="BH10" i="1" s="1"/>
  <c r="BK10" i="1" s="1"/>
  <c r="BN10" i="1" s="1"/>
  <c r="BP9" i="1"/>
  <c r="BQ9" i="1" s="1"/>
  <c r="I9" i="1"/>
  <c r="L9" i="1" s="1"/>
  <c r="O9" i="1" s="1"/>
  <c r="R9" i="1" s="1"/>
  <c r="U9" i="1" s="1"/>
  <c r="X9" i="1" s="1"/>
  <c r="AA9" i="1" s="1"/>
  <c r="AD9" i="1" s="1"/>
  <c r="AG9" i="1" s="1"/>
  <c r="AJ9" i="1" s="1"/>
  <c r="AM9" i="1" s="1"/>
  <c r="AP9" i="1" s="1"/>
  <c r="AS9" i="1" s="1"/>
  <c r="AV9" i="1" s="1"/>
  <c r="AY9" i="1" s="1"/>
  <c r="BB9" i="1" s="1"/>
  <c r="BE9" i="1" s="1"/>
  <c r="BH9" i="1" s="1"/>
  <c r="BK9" i="1" s="1"/>
  <c r="BN9" i="1" s="1"/>
  <c r="BP8" i="1"/>
  <c r="BQ8" i="1" s="1"/>
  <c r="U8" i="1"/>
  <c r="X8" i="1" s="1"/>
  <c r="AA8" i="1" s="1"/>
  <c r="AD8" i="1" s="1"/>
  <c r="AG8" i="1" s="1"/>
  <c r="AJ8" i="1" s="1"/>
  <c r="AM8" i="1" s="1"/>
  <c r="AP8" i="1" s="1"/>
  <c r="AS8" i="1" s="1"/>
  <c r="AV8" i="1" s="1"/>
  <c r="AY8" i="1" s="1"/>
  <c r="BB8" i="1" s="1"/>
  <c r="BE8" i="1" s="1"/>
  <c r="BH8" i="1" s="1"/>
  <c r="BK8" i="1" s="1"/>
  <c r="BN8" i="1" s="1"/>
  <c r="I8" i="1"/>
  <c r="L8" i="1" s="1"/>
  <c r="O8" i="1" s="1"/>
  <c r="R8" i="1" s="1"/>
  <c r="BQ7" i="1"/>
  <c r="BP7" i="1"/>
  <c r="I7" i="1"/>
  <c r="L7" i="1" s="1"/>
  <c r="O7" i="1" s="1"/>
  <c r="R7" i="1" s="1"/>
  <c r="U7" i="1" s="1"/>
  <c r="X7" i="1" s="1"/>
  <c r="AA7" i="1" s="1"/>
  <c r="AD7" i="1" s="1"/>
  <c r="AG7" i="1" s="1"/>
  <c r="AJ7" i="1" s="1"/>
  <c r="AM7" i="1" s="1"/>
  <c r="AP7" i="1" s="1"/>
  <c r="AS7" i="1" s="1"/>
  <c r="AV7" i="1" s="1"/>
  <c r="AY7" i="1" s="1"/>
  <c r="BB7" i="1" s="1"/>
  <c r="BE7" i="1" s="1"/>
  <c r="BH7" i="1" s="1"/>
  <c r="BK7" i="1" s="1"/>
  <c r="BN7" i="1" s="1"/>
  <c r="BP6" i="1"/>
  <c r="I6" i="1"/>
  <c r="L6" i="1" l="1"/>
  <c r="I19" i="1"/>
  <c r="BP19" i="1"/>
  <c r="BQ6" i="1"/>
  <c r="L19" i="1" l="1"/>
  <c r="O6" i="1"/>
  <c r="O19" i="1" l="1"/>
  <c r="R6" i="1"/>
  <c r="R19" i="1" l="1"/>
  <c r="U6" i="1"/>
  <c r="X6" i="1" l="1"/>
  <c r="U19" i="1"/>
  <c r="X19" i="1" l="1"/>
  <c r="AA6" i="1"/>
  <c r="AD6" i="1" l="1"/>
  <c r="AA19" i="1"/>
  <c r="AD19" i="1" l="1"/>
  <c r="AG6" i="1"/>
  <c r="AJ6" i="1" l="1"/>
  <c r="AG19" i="1"/>
  <c r="AJ19" i="1" l="1"/>
  <c r="AM6" i="1"/>
  <c r="AM19" i="1" l="1"/>
  <c r="AP6" i="1"/>
  <c r="AP19" i="1" l="1"/>
  <c r="AS6" i="1"/>
  <c r="AV6" i="1" l="1"/>
  <c r="AS19" i="1"/>
  <c r="AV19" i="1" l="1"/>
  <c r="AY6" i="1"/>
  <c r="BB6" i="1" l="1"/>
  <c r="AY19" i="1"/>
  <c r="BB19" i="1" l="1"/>
  <c r="BE6" i="1"/>
  <c r="BH6" i="1" l="1"/>
  <c r="BE19" i="1"/>
  <c r="BH19" i="1" l="1"/>
  <c r="BK6" i="1"/>
  <c r="BK19" i="1" l="1"/>
  <c r="BN6" i="1"/>
  <c r="BN19" i="1" s="1"/>
</calcChain>
</file>

<file path=xl/sharedStrings.xml><?xml version="1.0" encoding="utf-8"?>
<sst xmlns="http://schemas.openxmlformats.org/spreadsheetml/2006/main" count="160" uniqueCount="89">
  <si>
    <t>SITRAFO — Lista de tareas de la iteración: Sprint 3 (propuesta para el Sprint Planning)</t>
  </si>
  <si>
    <t>(Sprint Backlog) Sprint de cierre de la Fase 2, desde el 16 de octubre de 2026 · responsables y horas por confirmar en el Sprint Planning</t>
  </si>
  <si>
    <t>Elaborado por: pmoinformatica.com</t>
  </si>
  <si>
    <t xml:space="preserve">Día 1
</t>
  </si>
  <si>
    <t xml:space="preserve">Día 2
</t>
  </si>
  <si>
    <t xml:space="preserve">Día 3
</t>
  </si>
  <si>
    <t xml:space="preserve">Día 4
</t>
  </si>
  <si>
    <t xml:space="preserve">Día 5
</t>
  </si>
  <si>
    <t xml:space="preserve">Día 6
</t>
  </si>
  <si>
    <t xml:space="preserve">Día 7
</t>
  </si>
  <si>
    <t xml:space="preserve">Día 8
</t>
  </si>
  <si>
    <t xml:space="preserve">Día 9
</t>
  </si>
  <si>
    <t xml:space="preserve">Día 10
</t>
  </si>
  <si>
    <t>Día 11</t>
  </si>
  <si>
    <t>Día 12</t>
  </si>
  <si>
    <t>Día 13</t>
  </si>
  <si>
    <t>Día 14</t>
  </si>
  <si>
    <t>Día 15</t>
  </si>
  <si>
    <t>Día 16</t>
  </si>
  <si>
    <t>Día 17</t>
  </si>
  <si>
    <t>Día 18</t>
  </si>
  <si>
    <t>Día 19</t>
  </si>
  <si>
    <t>Día 20</t>
  </si>
  <si>
    <t>Total</t>
  </si>
  <si>
    <t>Identificador (ID) de item de product backlog</t>
  </si>
  <si>
    <t>Enunciado del item de Product Backlog</t>
  </si>
  <si>
    <t>Tarea</t>
  </si>
  <si>
    <t>Dueño / Voluntario</t>
  </si>
  <si>
    <t>Estatus</t>
  </si>
  <si>
    <t>Horas estimadas totales</t>
  </si>
  <si>
    <t>Cons.</t>
  </si>
  <si>
    <t>Rest.</t>
  </si>
  <si>
    <t>S3-01</t>
  </si>
  <si>
    <t>Pruebas en producción</t>
  </si>
  <si>
    <t>Informe de verificación en producción PRU-01 (saldo del Sprint 2)</t>
  </si>
  <si>
    <t>Milko</t>
  </si>
  <si>
    <t>Por hacer</t>
  </si>
  <si>
    <t>S3-02</t>
  </si>
  <si>
    <t>Pruebas</t>
  </si>
  <si>
    <t>Subir al repositorio el informe QA-01 (réplica local)</t>
  </si>
  <si>
    <t>Benjamín</t>
  </si>
  <si>
    <t>S3-03</t>
  </si>
  <si>
    <t>Plan de pruebas</t>
  </si>
  <si>
    <t>Plan de pruebas consolidado: unitarias, integración, rendimiento y seguridad</t>
  </si>
  <si>
    <t>S3-04</t>
  </si>
  <si>
    <t>Rendimiento (RNF-06)</t>
  </si>
  <si>
    <t>Optimizar tiempos de respuesta y repetir la prueba de carga</t>
  </si>
  <si>
    <t>S3-05</t>
  </si>
  <si>
    <t>Inicio del proyecto</t>
  </si>
  <si>
    <t>Visión del producto (Product Vision)</t>
  </si>
  <si>
    <t>S3-06</t>
  </si>
  <si>
    <t>Despliegue</t>
  </si>
  <si>
    <t>Manual técnico y de despliegue (Docker, variables de entorno, Render)</t>
  </si>
  <si>
    <t>S3-07</t>
  </si>
  <si>
    <t>Repositorio</t>
  </si>
  <si>
    <t>README de la raíz con instrucciones reales de ejecución</t>
  </si>
  <si>
    <t>S3-08</t>
  </si>
  <si>
    <t>APIs</t>
  </si>
  <si>
    <t>Documentar las APIs propias del sistema</t>
  </si>
  <si>
    <t>S3-09</t>
  </si>
  <si>
    <t>Informe final</t>
  </si>
  <si>
    <t>Informe final 2.6 con sección de innovación</t>
  </si>
  <si>
    <t>Equipo</t>
  </si>
  <si>
    <t>S3-10</t>
  </si>
  <si>
    <t>Metodología Scrum</t>
  </si>
  <si>
    <t>Registro de dailies (tres por semana) y actualización del burndown</t>
  </si>
  <si>
    <t>Camila</t>
  </si>
  <si>
    <t>S3-11</t>
  </si>
  <si>
    <t>Sprint Review y retrospectiva del Sprint 3</t>
  </si>
  <si>
    <t>S3-12</t>
  </si>
  <si>
    <t>Presentación</t>
  </si>
  <si>
    <t>Presentación final de la Fase 2</t>
  </si>
  <si>
    <t>Lista de tareas de la iteración (Sprint Backlog): Instructivo</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</si>
  <si>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</si>
  <si>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</si>
  <si>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</si>
  <si>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</si>
  <si>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</si>
  <si>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</si>
  <si>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</si>
  <si>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</si>
  <si>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</si>
  <si>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</si>
  <si>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</si>
  <si>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</si>
  <si>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</si>
  <si>
    <t>S3-13</t>
  </si>
  <si>
    <t>Seguridad del portal web</t>
  </si>
  <si>
    <t>Corregir las 3 alertas medias de OWASP ZAP según informe de seguridad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</si>
</sst>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22"/>
      <color theme="1"/>
      <name val="Calibri"/>
      <family val="2"/>
      <charset val="1"/>
    </font>
    <font>
      <b/>
      <sz val="16"/>
      <color theme="3"/>
      <name val="Calibri"/>
      <family val="2"/>
      <charset val="1"/>
    </font>
    <font>
      <sz val="11"/>
      <color theme="0"/>
      <name val="Calibri"/>
      <family val="2"/>
      <charset val="1"/>
    </font>
    <font>
      <b/>
      <sz val="11"/>
      <name val="Calibri"/>
    </font>
  </fonts>
  <fills count="6">
    <fill>
      <patternFill patternType="none"/>
    </fill>
    <fill>
      <patternFill patternType="gray125"/>
    </fill>
    <fill>
      <patternFill patternType="solid">
        <fgColor theme="0"/>
        <bgColor rgb="FFFFFFCC"/>
      </patternFill>
    </fill>
    <fill>
      <patternFill patternType="solid">
        <fgColor theme="3"/>
        <bgColor rgb="FF003366"/>
      </patternFill>
    </fill>
    <fill>
      <patternFill patternType="solid">
        <fgColor theme="6" tint="0.59987182226020086"/>
        <bgColor rgb="FFB9CDE5"/>
      </patternFill>
    </fill>
    <fill>
      <patternFill patternType="solid">
        <fgColor theme="4" tint="0.59987182226020086"/>
        <bgColor rgb="FFC0C0C0"/>
      </patternFill>
    </fill>
  </fills>
  <borders count="5">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s>
  <cellStyleXfs count="1">
    <xf numFmtId="0" fontId="0" fillId="0" borderId="0"/>
  </cellStyleXfs>
  <cellXfs count="20">
    <xf numFmtId="0" fontId="0" fillId="0" borderId="0" xfId="0"/>
    <xf numFmtId="0" fontId="0" fillId="2" borderId="0" xfId="0" applyFill="1"/>
    <xf numFmtId="0" fontId="1" fillId="2" borderId="0" xfId="0" applyFont="1" applyFill="1"/>
    <xf numFmtId="0" fontId="2" fillId="2" borderId="0" xfId="0" applyFont="1" applyFill="1"/>
    <xf numFmtId="0" fontId="3" fillId="3" borderId="1"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0" fillId="2" borderId="1" xfId="0" applyFill="1" applyBorder="1" applyAlignment="1">
      <alignment horizontal="left" vertical="top" wrapText="1"/>
    </xf>
    <xf numFmtId="0" fontId="0" fillId="2" borderId="1" xfId="0" applyFill="1" applyBorder="1" applyAlignment="1">
      <alignment horizontal="right" vertical="top" wrapText="1"/>
    </xf>
    <xf numFmtId="0" fontId="0" fillId="4" borderId="1" xfId="0" applyFill="1" applyBorder="1" applyAlignment="1">
      <alignment horizontal="right" vertical="top" wrapText="1"/>
    </xf>
    <xf numFmtId="0" fontId="0" fillId="5" borderId="1" xfId="0" applyFill="1" applyBorder="1" applyAlignment="1">
      <alignment horizontal="right" vertical="top" wrapText="1"/>
    </xf>
    <xf numFmtId="0" fontId="3" fillId="3" borderId="1" xfId="0" applyFont="1" applyFill="1" applyBorder="1"/>
    <xf numFmtId="0" fontId="0" fillId="2" borderId="1" xfId="0" applyFill="1" applyBorder="1" applyAlignment="1">
      <alignment vertical="center" wrapText="1"/>
    </xf>
    <xf numFmtId="0" fontId="4" fillId="0" borderId="0" xfId="0" applyFont="1"/>
    <xf numFmtId="0" fontId="4" fillId="2" borderId="1" xfId="0" applyFont="1" applyFill="1" applyBorder="1" applyAlignment="1">
      <alignment horizontal="left" vertical="top" wrapText="1"/>
    </xf>
    <xf numFmtId="0" fontId="4" fillId="2" borderId="1" xfId="0" applyFont="1" applyFill="1" applyBorder="1" applyAlignment="1">
      <alignment horizontal="right" vertical="top" wrapText="1"/>
    </xf>
    <xf numFmtId="0" fontId="4" fillId="4" borderId="1" xfId="0" applyFont="1" applyFill="1" applyBorder="1" applyAlignment="1">
      <alignment horizontal="right" vertical="top" wrapText="1"/>
    </xf>
    <xf numFmtId="0" fontId="4" fillId="5" borderId="1" xfId="0" applyFont="1" applyFill="1" applyBorder="1" applyAlignment="1">
      <alignment horizontal="right" vertical="top" wrapText="1"/>
    </xf>
    <xf numFmtId="0" fontId="3" fillId="3" borderId="1" xfId="0" applyFont="1" applyFill="1" applyBorder="1" applyAlignment="1">
      <alignment horizontal="center" vertical="center" wrapText="1"/>
    </xf>
    <xf numFmtId="0" fontId="0" fillId="0" borderId="4" xfId="0"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Q19"/>
  <sheetViews>
    <sheetView tabSelected="1" view="pageBreakPreview" zoomScale="45" zoomScaleNormal="100" zoomScaleSheetLayoutView="45" workbookViewId="0">
      <pane xSplit="6" ySplit="5" topLeftCell="P6" activePane="bottomRight" state="frozen"/>
      <selection pane="topRight" activeCell="G1" sqref="G1"/>
      <selection pane="bottomLeft" activeCell="A6" sqref="A6"/>
      <selection pane="bottomRight" activeCell="S11" sqref="S11"/>
    </sheetView>
  </sheetViews>
  <sheetFormatPr baseColWidth="10" defaultColWidth="11.453125" defaultRowHeight="14.5" x14ac:dyDescent="0.35"/>
  <cols>
    <col min="1" max="1" width="1.453125" style="1" customWidth="1"/>
    <col min="2" max="2" width="16.453125" style="1" customWidth="1"/>
    <col min="3" max="3" width="30" style="1" customWidth="1"/>
    <col min="4" max="4" width="48" style="1" customWidth="1"/>
    <col min="5" max="5" width="10.453125" style="1" customWidth="1"/>
    <col min="6" max="6" width="11.81640625" style="1" customWidth="1"/>
    <col min="7" max="7" width="15.453125" style="1" customWidth="1"/>
    <col min="8" max="8" width="5.81640625" style="1" customWidth="1"/>
    <col min="9" max="9" width="5.453125" style="1" customWidth="1"/>
    <col min="10" max="10" width="2.7265625" style="1" customWidth="1"/>
    <col min="11" max="11" width="5.81640625" style="1" customWidth="1"/>
    <col min="12" max="12" width="5.453125" style="1" customWidth="1"/>
    <col min="13" max="13" width="2.7265625" style="1" customWidth="1"/>
    <col min="14" max="14" width="5.81640625" style="1" customWidth="1"/>
    <col min="15" max="15" width="5.453125" style="1" customWidth="1"/>
    <col min="16" max="16" width="2.7265625" style="1" customWidth="1"/>
    <col min="17" max="17" width="5.81640625" style="1" customWidth="1"/>
    <col min="18" max="18" width="5.453125" style="1" customWidth="1"/>
    <col min="19" max="19" width="2.7265625" style="1" customWidth="1"/>
    <col min="20" max="20" width="5.81640625" style="1" customWidth="1"/>
    <col min="21" max="21" width="5.453125" style="1" customWidth="1"/>
    <col min="22" max="22" width="2.7265625" style="1" customWidth="1"/>
    <col min="23" max="23" width="5.81640625" style="1" customWidth="1"/>
    <col min="24" max="24" width="5.453125" style="1" customWidth="1"/>
    <col min="25" max="25" width="2.7265625" style="1" customWidth="1"/>
    <col min="26" max="26" width="5.81640625" style="1" customWidth="1"/>
    <col min="27" max="27" width="5.453125" style="1" customWidth="1"/>
    <col min="28" max="28" width="2.7265625" style="1" customWidth="1"/>
    <col min="29" max="29" width="5.81640625" style="1" customWidth="1"/>
    <col min="30" max="30" width="5.453125" style="1" customWidth="1"/>
    <col min="31" max="31" width="2.7265625" style="1" customWidth="1"/>
    <col min="32" max="32" width="5.81640625" style="1" customWidth="1"/>
    <col min="33" max="33" width="5.453125" style="1" customWidth="1"/>
    <col min="34" max="34" width="2.7265625" style="1" customWidth="1"/>
    <col min="35" max="35" width="5.81640625" style="1" customWidth="1"/>
    <col min="36" max="36" width="5.453125" style="1" customWidth="1"/>
    <col min="37" max="37" width="2.7265625" style="1" customWidth="1"/>
    <col min="38" max="38" width="5.81640625" style="1" customWidth="1"/>
    <col min="39" max="39" width="5.453125" style="1" customWidth="1"/>
    <col min="40" max="40" width="2.7265625" style="1" customWidth="1"/>
    <col min="41" max="41" width="5.81640625" style="1" customWidth="1"/>
    <col min="42" max="42" width="5.453125" style="1" customWidth="1"/>
    <col min="43" max="43" width="2.7265625" style="1" customWidth="1"/>
    <col min="44" max="44" width="5.81640625" style="1" customWidth="1"/>
    <col min="45" max="45" width="5.453125" style="1" customWidth="1"/>
    <col min="46" max="46" width="2.7265625" style="1" customWidth="1"/>
    <col min="47" max="47" width="5.81640625" style="1" customWidth="1"/>
    <col min="48" max="48" width="5.453125" style="1" customWidth="1"/>
    <col min="49" max="49" width="2.7265625" style="1" customWidth="1"/>
    <col min="50" max="50" width="5.81640625" style="1" customWidth="1"/>
    <col min="51" max="51" width="5.453125" style="1" customWidth="1"/>
    <col min="52" max="52" width="2.7265625" style="1" customWidth="1"/>
    <col min="53" max="53" width="5.81640625" style="1" customWidth="1"/>
    <col min="54" max="54" width="5.453125" style="1" customWidth="1"/>
    <col min="55" max="55" width="2.7265625" style="1" customWidth="1"/>
    <col min="56" max="56" width="5.81640625" style="1" customWidth="1"/>
    <col min="57" max="57" width="5.453125" style="1" customWidth="1"/>
    <col min="58" max="58" width="2.7265625" style="1" customWidth="1"/>
    <col min="59" max="59" width="5.81640625" style="1" customWidth="1"/>
    <col min="60" max="60" width="5.453125" style="1" customWidth="1"/>
    <col min="61" max="61" width="2.7265625" style="1" customWidth="1"/>
    <col min="62" max="62" width="5.81640625" style="1" customWidth="1"/>
    <col min="63" max="63" width="5.453125" style="1" customWidth="1"/>
    <col min="64" max="64" width="2.7265625" style="1" customWidth="1"/>
    <col min="65" max="65" width="5.81640625" style="1" customWidth="1"/>
    <col min="66" max="66" width="5.453125" style="1" customWidth="1"/>
    <col min="67" max="67" width="2.7265625" style="1" customWidth="1"/>
    <col min="68" max="68" width="5.81640625" style="1" customWidth="1"/>
    <col min="69" max="69" width="5.453125" style="1" customWidth="1"/>
    <col min="70" max="70" width="11.453125" style="1" customWidth="1"/>
    <col min="71" max="16384" width="11.453125" style="1"/>
  </cols>
  <sheetData>
    <row r="1" spans="2:69" ht="28.5" customHeight="1" x14ac:dyDescent="0.65">
      <c r="B1" s="2" t="s">
        <v>0</v>
      </c>
    </row>
    <row r="2" spans="2:69" ht="28.5" customHeight="1" x14ac:dyDescent="0.65">
      <c r="B2" s="2" t="s">
        <v>1</v>
      </c>
    </row>
    <row r="3" spans="2:69" ht="21" customHeight="1" x14ac:dyDescent="0.5">
      <c r="B3" s="3" t="s">
        <v>2</v>
      </c>
    </row>
    <row r="4" spans="2:69" ht="30" customHeight="1" x14ac:dyDescent="0.35">
      <c r="H4" s="18" t="s">
        <v>3</v>
      </c>
      <c r="I4" s="19"/>
      <c r="J4" s="5"/>
      <c r="K4" s="18" t="s">
        <v>4</v>
      </c>
      <c r="L4" s="19"/>
      <c r="M4" s="5"/>
      <c r="N4" s="18" t="s">
        <v>5</v>
      </c>
      <c r="O4" s="19"/>
      <c r="P4" s="5"/>
      <c r="Q4" s="18" t="s">
        <v>6</v>
      </c>
      <c r="R4" s="19"/>
      <c r="S4" s="5"/>
      <c r="T4" s="18" t="s">
        <v>7</v>
      </c>
      <c r="U4" s="19"/>
      <c r="V4" s="5"/>
      <c r="W4" s="18" t="s">
        <v>8</v>
      </c>
      <c r="X4" s="19"/>
      <c r="Y4" s="5"/>
      <c r="Z4" s="18" t="s">
        <v>9</v>
      </c>
      <c r="AA4" s="19"/>
      <c r="AB4" s="5"/>
      <c r="AC4" s="18" t="s">
        <v>10</v>
      </c>
      <c r="AD4" s="19"/>
      <c r="AE4" s="5"/>
      <c r="AF4" s="18" t="s">
        <v>11</v>
      </c>
      <c r="AG4" s="19"/>
      <c r="AH4" s="5"/>
      <c r="AI4" s="18" t="s">
        <v>12</v>
      </c>
      <c r="AJ4" s="19"/>
      <c r="AK4" s="5"/>
      <c r="AL4" s="18" t="s">
        <v>13</v>
      </c>
      <c r="AM4" s="19"/>
      <c r="AN4" s="5"/>
      <c r="AO4" s="18" t="s">
        <v>14</v>
      </c>
      <c r="AP4" s="19"/>
      <c r="AQ4" s="5"/>
      <c r="AR4" s="18" t="s">
        <v>15</v>
      </c>
      <c r="AS4" s="19"/>
      <c r="AT4" s="5"/>
      <c r="AU4" s="18" t="s">
        <v>16</v>
      </c>
      <c r="AV4" s="19"/>
      <c r="AW4" s="5"/>
      <c r="AX4" s="18" t="s">
        <v>17</v>
      </c>
      <c r="AY4" s="19"/>
      <c r="AZ4" s="5"/>
      <c r="BA4" s="18" t="s">
        <v>18</v>
      </c>
      <c r="BB4" s="19"/>
      <c r="BC4" s="5"/>
      <c r="BD4" s="18" t="s">
        <v>19</v>
      </c>
      <c r="BE4" s="19"/>
      <c r="BF4" s="5"/>
      <c r="BG4" s="18" t="s">
        <v>20</v>
      </c>
      <c r="BH4" s="19"/>
      <c r="BI4" s="5"/>
      <c r="BJ4" s="18" t="s">
        <v>21</v>
      </c>
      <c r="BK4" s="19"/>
      <c r="BL4" s="5"/>
      <c r="BM4" s="18" t="s">
        <v>22</v>
      </c>
      <c r="BN4" s="19"/>
      <c r="BO4" s="5"/>
      <c r="BP4" s="18" t="s">
        <v>23</v>
      </c>
      <c r="BQ4" s="19"/>
    </row>
    <row r="5" spans="2:69" ht="45" customHeight="1" x14ac:dyDescent="0.35">
      <c r="B5" s="4" t="s">
        <v>24</v>
      </c>
      <c r="C5" s="4" t="s">
        <v>25</v>
      </c>
      <c r="D5" s="4" t="s">
        <v>26</v>
      </c>
      <c r="E5" s="4" t="s">
        <v>27</v>
      </c>
      <c r="F5" s="4" t="s">
        <v>28</v>
      </c>
      <c r="G5" s="4" t="s">
        <v>29</v>
      </c>
      <c r="H5" s="6" t="s">
        <v>30</v>
      </c>
      <c r="I5" s="6" t="s">
        <v>31</v>
      </c>
      <c r="J5" s="6"/>
      <c r="K5" s="6" t="s">
        <v>30</v>
      </c>
      <c r="L5" s="6" t="s">
        <v>31</v>
      </c>
      <c r="M5" s="6"/>
      <c r="N5" s="6" t="s">
        <v>30</v>
      </c>
      <c r="O5" s="6" t="s">
        <v>31</v>
      </c>
      <c r="P5" s="6"/>
      <c r="Q5" s="6" t="s">
        <v>30</v>
      </c>
      <c r="R5" s="6" t="s">
        <v>31</v>
      </c>
      <c r="S5" s="6"/>
      <c r="T5" s="6" t="s">
        <v>30</v>
      </c>
      <c r="U5" s="6" t="s">
        <v>31</v>
      </c>
      <c r="V5" s="6"/>
      <c r="W5" s="6" t="s">
        <v>30</v>
      </c>
      <c r="X5" s="6" t="s">
        <v>31</v>
      </c>
      <c r="Y5" s="6"/>
      <c r="Z5" s="6" t="s">
        <v>30</v>
      </c>
      <c r="AA5" s="6" t="s">
        <v>31</v>
      </c>
      <c r="AB5" s="6"/>
      <c r="AC5" s="6" t="s">
        <v>30</v>
      </c>
      <c r="AD5" s="6" t="s">
        <v>31</v>
      </c>
      <c r="AE5" s="6"/>
      <c r="AF5" s="6" t="s">
        <v>30</v>
      </c>
      <c r="AG5" s="6" t="s">
        <v>31</v>
      </c>
      <c r="AH5" s="6"/>
      <c r="AI5" s="6" t="s">
        <v>30</v>
      </c>
      <c r="AJ5" s="6" t="s">
        <v>31</v>
      </c>
      <c r="AK5" s="6"/>
      <c r="AL5" s="6" t="s">
        <v>30</v>
      </c>
      <c r="AM5" s="6" t="s">
        <v>31</v>
      </c>
      <c r="AN5" s="6"/>
      <c r="AO5" s="6" t="s">
        <v>30</v>
      </c>
      <c r="AP5" s="6" t="s">
        <v>31</v>
      </c>
      <c r="AQ5" s="6"/>
      <c r="AR5" s="6" t="s">
        <v>30</v>
      </c>
      <c r="AS5" s="6" t="s">
        <v>31</v>
      </c>
      <c r="AT5" s="6"/>
      <c r="AU5" s="6" t="s">
        <v>30</v>
      </c>
      <c r="AV5" s="6" t="s">
        <v>31</v>
      </c>
      <c r="AW5" s="6"/>
      <c r="AX5" s="6" t="s">
        <v>30</v>
      </c>
      <c r="AY5" s="6" t="s">
        <v>31</v>
      </c>
      <c r="AZ5" s="6"/>
      <c r="BA5" s="6" t="s">
        <v>30</v>
      </c>
      <c r="BB5" s="6" t="s">
        <v>31</v>
      </c>
      <c r="BC5" s="6"/>
      <c r="BD5" s="6" t="s">
        <v>30</v>
      </c>
      <c r="BE5" s="6" t="s">
        <v>31</v>
      </c>
      <c r="BF5" s="6"/>
      <c r="BG5" s="6" t="s">
        <v>30</v>
      </c>
      <c r="BH5" s="6" t="s">
        <v>31</v>
      </c>
      <c r="BI5" s="6"/>
      <c r="BJ5" s="6" t="s">
        <v>30</v>
      </c>
      <c r="BK5" s="6" t="s">
        <v>31</v>
      </c>
      <c r="BL5" s="6"/>
      <c r="BM5" s="6" t="s">
        <v>30</v>
      </c>
      <c r="BN5" s="6" t="s">
        <v>31</v>
      </c>
      <c r="BO5" s="6"/>
      <c r="BP5" s="6" t="s">
        <v>30</v>
      </c>
      <c r="BQ5" s="6" t="s">
        <v>31</v>
      </c>
    </row>
    <row r="6" spans="2:69" ht="30" customHeight="1" x14ac:dyDescent="0.35">
      <c r="B6" s="7" t="s">
        <v>32</v>
      </c>
      <c r="C6" s="12" t="s">
        <v>33</v>
      </c>
      <c r="D6" s="12" t="s">
        <v>34</v>
      </c>
      <c r="E6" s="7" t="s">
        <v>35</v>
      </c>
      <c r="F6" s="7" t="s">
        <v>36</v>
      </c>
      <c r="G6" s="7">
        <v>6</v>
      </c>
      <c r="H6" s="8">
        <v>0</v>
      </c>
      <c r="I6" s="8">
        <f t="shared" ref="I6:I17" si="0">G6-H6</f>
        <v>6</v>
      </c>
      <c r="J6" s="9"/>
      <c r="K6" s="8">
        <v>0</v>
      </c>
      <c r="L6" s="8">
        <f t="shared" ref="L6:L17" si="1">I6-K6</f>
        <v>6</v>
      </c>
      <c r="M6" s="9"/>
      <c r="N6" s="8">
        <v>0</v>
      </c>
      <c r="O6" s="8">
        <f t="shared" ref="O6:O17" si="2">L6-N6</f>
        <v>6</v>
      </c>
      <c r="P6" s="9"/>
      <c r="Q6" s="8">
        <v>0</v>
      </c>
      <c r="R6" s="8">
        <f t="shared" ref="R6:R17" si="3">O6-Q6</f>
        <v>6</v>
      </c>
      <c r="S6" s="9"/>
      <c r="T6" s="8">
        <v>0</v>
      </c>
      <c r="U6" s="8">
        <f t="shared" ref="U6:U17" si="4">R6-T6</f>
        <v>6</v>
      </c>
      <c r="V6" s="9"/>
      <c r="W6" s="8">
        <v>0</v>
      </c>
      <c r="X6" s="8">
        <f t="shared" ref="X6:X17" si="5">U6-W6</f>
        <v>6</v>
      </c>
      <c r="Y6" s="9"/>
      <c r="Z6" s="8">
        <v>0</v>
      </c>
      <c r="AA6" s="8">
        <f t="shared" ref="AA6:AA17" si="6">X6-Z6</f>
        <v>6</v>
      </c>
      <c r="AB6" s="9"/>
      <c r="AC6" s="8">
        <v>0</v>
      </c>
      <c r="AD6" s="8">
        <f t="shared" ref="AD6:AD17" si="7">AA6-AC6</f>
        <v>6</v>
      </c>
      <c r="AE6" s="9"/>
      <c r="AF6" s="8">
        <v>0</v>
      </c>
      <c r="AG6" s="8">
        <f t="shared" ref="AG6:AG17" si="8">AD6-AF6</f>
        <v>6</v>
      </c>
      <c r="AH6" s="9"/>
      <c r="AI6" s="8">
        <v>0</v>
      </c>
      <c r="AJ6" s="8">
        <f t="shared" ref="AJ6:AJ17" si="9">AG6-AI6</f>
        <v>6</v>
      </c>
      <c r="AK6" s="9"/>
      <c r="AL6" s="8"/>
      <c r="AM6" s="8">
        <f t="shared" ref="AM6:AM17" si="10">AJ6-AL6</f>
        <v>6</v>
      </c>
      <c r="AN6" s="9"/>
      <c r="AO6" s="8"/>
      <c r="AP6" s="8">
        <f t="shared" ref="AP6:AP17" si="11">AM6-AO6</f>
        <v>6</v>
      </c>
      <c r="AQ6" s="9"/>
      <c r="AR6" s="8"/>
      <c r="AS6" s="8">
        <f t="shared" ref="AS6:AS17" si="12">AP6-AR6</f>
        <v>6</v>
      </c>
      <c r="AT6" s="9"/>
      <c r="AU6" s="8"/>
      <c r="AV6" s="8">
        <f t="shared" ref="AV6:AV17" si="13">AS6-AU6</f>
        <v>6</v>
      </c>
      <c r="AW6" s="9"/>
      <c r="AX6" s="8"/>
      <c r="AY6" s="8">
        <f t="shared" ref="AY6:AY17" si="14">AV6-AX6</f>
        <v>6</v>
      </c>
      <c r="AZ6" s="9"/>
      <c r="BA6" s="8"/>
      <c r="BB6" s="8">
        <f t="shared" ref="BB6:BB17" si="15">AY6-BA6</f>
        <v>6</v>
      </c>
      <c r="BC6" s="9"/>
      <c r="BD6" s="8"/>
      <c r="BE6" s="8">
        <f t="shared" ref="BE6:BE17" si="16">BB6-BD6</f>
        <v>6</v>
      </c>
      <c r="BF6" s="9"/>
      <c r="BG6" s="8"/>
      <c r="BH6" s="8">
        <f t="shared" ref="BH6:BH17" si="17">BE6-BG6</f>
        <v>6</v>
      </c>
      <c r="BI6" s="9"/>
      <c r="BJ6" s="8"/>
      <c r="BK6" s="8">
        <f t="shared" ref="BK6:BK17" si="18">BH6-BJ6</f>
        <v>6</v>
      </c>
      <c r="BL6" s="9"/>
      <c r="BM6" s="8"/>
      <c r="BN6" s="8">
        <f t="shared" ref="BN6:BN17" si="19">BK6-BM6</f>
        <v>6</v>
      </c>
      <c r="BO6" s="9"/>
      <c r="BP6" s="10">
        <f t="shared" ref="BP6:BP17" si="20">H6+K6+N6+Q6+T6+W6+Z6+AC6+AF6+AI6+AL6+AO6+AR6+AU6+AX6+BA6+BD6+BG6+BJ6+BM6</f>
        <v>0</v>
      </c>
      <c r="BQ6" s="10">
        <f t="shared" ref="BQ6:BQ17" si="21">G6-BP6</f>
        <v>6</v>
      </c>
    </row>
    <row r="7" spans="2:69" ht="30" customHeight="1" x14ac:dyDescent="0.35">
      <c r="B7" s="7" t="s">
        <v>37</v>
      </c>
      <c r="C7" s="12" t="s">
        <v>38</v>
      </c>
      <c r="D7" s="12" t="s">
        <v>39</v>
      </c>
      <c r="E7" s="7" t="s">
        <v>40</v>
      </c>
      <c r="F7" s="7" t="s">
        <v>36</v>
      </c>
      <c r="G7" s="7">
        <v>1</v>
      </c>
      <c r="H7" s="8">
        <v>0</v>
      </c>
      <c r="I7" s="8">
        <f t="shared" si="0"/>
        <v>1</v>
      </c>
      <c r="J7" s="9"/>
      <c r="K7" s="8">
        <v>0</v>
      </c>
      <c r="L7" s="8">
        <f t="shared" si="1"/>
        <v>1</v>
      </c>
      <c r="M7" s="9"/>
      <c r="N7" s="8">
        <v>0</v>
      </c>
      <c r="O7" s="8">
        <f t="shared" si="2"/>
        <v>1</v>
      </c>
      <c r="P7" s="9"/>
      <c r="Q7" s="8">
        <v>0</v>
      </c>
      <c r="R7" s="8">
        <f t="shared" si="3"/>
        <v>1</v>
      </c>
      <c r="S7" s="9"/>
      <c r="T7" s="8">
        <v>0</v>
      </c>
      <c r="U7" s="8">
        <f t="shared" si="4"/>
        <v>1</v>
      </c>
      <c r="V7" s="9"/>
      <c r="W7" s="8">
        <v>0</v>
      </c>
      <c r="X7" s="8">
        <f t="shared" si="5"/>
        <v>1</v>
      </c>
      <c r="Y7" s="9"/>
      <c r="Z7" s="8">
        <v>0</v>
      </c>
      <c r="AA7" s="8">
        <f t="shared" si="6"/>
        <v>1</v>
      </c>
      <c r="AB7" s="9"/>
      <c r="AC7" s="8">
        <v>0</v>
      </c>
      <c r="AD7" s="8">
        <f t="shared" si="7"/>
        <v>1</v>
      </c>
      <c r="AE7" s="9"/>
      <c r="AF7" s="8">
        <v>0</v>
      </c>
      <c r="AG7" s="8">
        <f t="shared" si="8"/>
        <v>1</v>
      </c>
      <c r="AH7" s="9"/>
      <c r="AI7" s="8">
        <v>0</v>
      </c>
      <c r="AJ7" s="8">
        <f t="shared" si="9"/>
        <v>1</v>
      </c>
      <c r="AK7" s="9"/>
      <c r="AL7" s="8"/>
      <c r="AM7" s="8">
        <f t="shared" si="10"/>
        <v>1</v>
      </c>
      <c r="AN7" s="9"/>
      <c r="AO7" s="8"/>
      <c r="AP7" s="8">
        <f t="shared" si="11"/>
        <v>1</v>
      </c>
      <c r="AQ7" s="9"/>
      <c r="AR7" s="8"/>
      <c r="AS7" s="8">
        <f t="shared" si="12"/>
        <v>1</v>
      </c>
      <c r="AT7" s="9"/>
      <c r="AU7" s="8"/>
      <c r="AV7" s="8">
        <f t="shared" si="13"/>
        <v>1</v>
      </c>
      <c r="AW7" s="9"/>
      <c r="AX7" s="8"/>
      <c r="AY7" s="8">
        <f t="shared" si="14"/>
        <v>1</v>
      </c>
      <c r="AZ7" s="9"/>
      <c r="BA7" s="8"/>
      <c r="BB7" s="8">
        <f t="shared" si="15"/>
        <v>1</v>
      </c>
      <c r="BC7" s="9"/>
      <c r="BD7" s="8"/>
      <c r="BE7" s="8">
        <f t="shared" si="16"/>
        <v>1</v>
      </c>
      <c r="BF7" s="9"/>
      <c r="BG7" s="8"/>
      <c r="BH7" s="8">
        <f t="shared" si="17"/>
        <v>1</v>
      </c>
      <c r="BI7" s="9"/>
      <c r="BJ7" s="8"/>
      <c r="BK7" s="8">
        <f t="shared" si="18"/>
        <v>1</v>
      </c>
      <c r="BL7" s="9"/>
      <c r="BM7" s="8"/>
      <c r="BN7" s="8">
        <f t="shared" si="19"/>
        <v>1</v>
      </c>
      <c r="BO7" s="9"/>
      <c r="BP7" s="10">
        <f t="shared" si="20"/>
        <v>0</v>
      </c>
      <c r="BQ7" s="10">
        <f t="shared" si="21"/>
        <v>1</v>
      </c>
    </row>
    <row r="8" spans="2:69" ht="30" customHeight="1" x14ac:dyDescent="0.35">
      <c r="B8" s="7" t="s">
        <v>41</v>
      </c>
      <c r="C8" s="12" t="s">
        <v>42</v>
      </c>
      <c r="D8" s="12" t="s">
        <v>43</v>
      </c>
      <c r="E8" s="7" t="s">
        <v>40</v>
      </c>
      <c r="F8" s="7" t="s">
        <v>36</v>
      </c>
      <c r="G8" s="7">
        <v>8</v>
      </c>
      <c r="H8" s="8">
        <v>0</v>
      </c>
      <c r="I8" s="8">
        <f t="shared" si="0"/>
        <v>8</v>
      </c>
      <c r="J8" s="9"/>
      <c r="K8" s="8">
        <v>0</v>
      </c>
      <c r="L8" s="8">
        <f t="shared" si="1"/>
        <v>8</v>
      </c>
      <c r="M8" s="9"/>
      <c r="N8" s="8">
        <v>0</v>
      </c>
      <c r="O8" s="8">
        <f t="shared" si="2"/>
        <v>8</v>
      </c>
      <c r="P8" s="9"/>
      <c r="Q8" s="8">
        <v>0</v>
      </c>
      <c r="R8" s="8">
        <f t="shared" si="3"/>
        <v>8</v>
      </c>
      <c r="S8" s="9"/>
      <c r="T8" s="8">
        <v>0</v>
      </c>
      <c r="U8" s="8">
        <f t="shared" si="4"/>
        <v>8</v>
      </c>
      <c r="V8" s="9"/>
      <c r="W8" s="8">
        <v>0</v>
      </c>
      <c r="X8" s="8">
        <f t="shared" si="5"/>
        <v>8</v>
      </c>
      <c r="Y8" s="9"/>
      <c r="Z8" s="8">
        <v>0</v>
      </c>
      <c r="AA8" s="8">
        <f t="shared" si="6"/>
        <v>8</v>
      </c>
      <c r="AB8" s="9"/>
      <c r="AC8" s="8">
        <v>0</v>
      </c>
      <c r="AD8" s="8">
        <f t="shared" si="7"/>
        <v>8</v>
      </c>
      <c r="AE8" s="9"/>
      <c r="AF8" s="8">
        <v>0</v>
      </c>
      <c r="AG8" s="8">
        <f t="shared" si="8"/>
        <v>8</v>
      </c>
      <c r="AH8" s="9"/>
      <c r="AI8" s="8">
        <v>0</v>
      </c>
      <c r="AJ8" s="8">
        <f t="shared" si="9"/>
        <v>8</v>
      </c>
      <c r="AK8" s="9"/>
      <c r="AL8" s="8"/>
      <c r="AM8" s="8">
        <f t="shared" si="10"/>
        <v>8</v>
      </c>
      <c r="AN8" s="9"/>
      <c r="AO8" s="8"/>
      <c r="AP8" s="8">
        <f t="shared" si="11"/>
        <v>8</v>
      </c>
      <c r="AQ8" s="9"/>
      <c r="AR8" s="8"/>
      <c r="AS8" s="8">
        <f t="shared" si="12"/>
        <v>8</v>
      </c>
      <c r="AT8" s="9"/>
      <c r="AU8" s="8"/>
      <c r="AV8" s="8">
        <f t="shared" si="13"/>
        <v>8</v>
      </c>
      <c r="AW8" s="9"/>
      <c r="AX8" s="8"/>
      <c r="AY8" s="8">
        <f t="shared" si="14"/>
        <v>8</v>
      </c>
      <c r="AZ8" s="9"/>
      <c r="BA8" s="8"/>
      <c r="BB8" s="8">
        <f t="shared" si="15"/>
        <v>8</v>
      </c>
      <c r="BC8" s="9"/>
      <c r="BD8" s="8"/>
      <c r="BE8" s="8">
        <f t="shared" si="16"/>
        <v>8</v>
      </c>
      <c r="BF8" s="9"/>
      <c r="BG8" s="8"/>
      <c r="BH8" s="8">
        <f t="shared" si="17"/>
        <v>8</v>
      </c>
      <c r="BI8" s="9"/>
      <c r="BJ8" s="8"/>
      <c r="BK8" s="8">
        <f t="shared" si="18"/>
        <v>8</v>
      </c>
      <c r="BL8" s="9"/>
      <c r="BM8" s="8"/>
      <c r="BN8" s="8">
        <f t="shared" si="19"/>
        <v>8</v>
      </c>
      <c r="BO8" s="9"/>
      <c r="BP8" s="10">
        <f t="shared" si="20"/>
        <v>0</v>
      </c>
      <c r="BQ8" s="10">
        <f t="shared" si="21"/>
        <v>8</v>
      </c>
    </row>
    <row r="9" spans="2:69" ht="30" customHeight="1" x14ac:dyDescent="0.35">
      <c r="B9" s="7" t="s">
        <v>44</v>
      </c>
      <c r="C9" s="12" t="s">
        <v>45</v>
      </c>
      <c r="D9" s="12" t="s">
        <v>46</v>
      </c>
      <c r="E9" s="7" t="s">
        <v>40</v>
      </c>
      <c r="F9" s="7" t="s">
        <v>36</v>
      </c>
      <c r="G9" s="7">
        <v>6</v>
      </c>
      <c r="H9" s="8">
        <v>0</v>
      </c>
      <c r="I9" s="8">
        <f t="shared" si="0"/>
        <v>6</v>
      </c>
      <c r="J9" s="9"/>
      <c r="K9" s="8">
        <v>0</v>
      </c>
      <c r="L9" s="8">
        <f t="shared" si="1"/>
        <v>6</v>
      </c>
      <c r="M9" s="9"/>
      <c r="N9" s="8">
        <v>0</v>
      </c>
      <c r="O9" s="8">
        <f t="shared" si="2"/>
        <v>6</v>
      </c>
      <c r="P9" s="9"/>
      <c r="Q9" s="8">
        <v>0</v>
      </c>
      <c r="R9" s="8">
        <f t="shared" si="3"/>
        <v>6</v>
      </c>
      <c r="S9" s="9"/>
      <c r="T9" s="8">
        <v>0</v>
      </c>
      <c r="U9" s="8">
        <f t="shared" si="4"/>
        <v>6</v>
      </c>
      <c r="V9" s="9"/>
      <c r="W9" s="8">
        <v>0</v>
      </c>
      <c r="X9" s="8">
        <f t="shared" si="5"/>
        <v>6</v>
      </c>
      <c r="Y9" s="9"/>
      <c r="Z9" s="8">
        <v>0</v>
      </c>
      <c r="AA9" s="8">
        <f t="shared" si="6"/>
        <v>6</v>
      </c>
      <c r="AB9" s="9"/>
      <c r="AC9" s="8">
        <v>0</v>
      </c>
      <c r="AD9" s="8">
        <f t="shared" si="7"/>
        <v>6</v>
      </c>
      <c r="AE9" s="9"/>
      <c r="AF9" s="8">
        <v>0</v>
      </c>
      <c r="AG9" s="8">
        <f t="shared" si="8"/>
        <v>6</v>
      </c>
      <c r="AH9" s="9"/>
      <c r="AI9" s="8">
        <v>0</v>
      </c>
      <c r="AJ9" s="8">
        <f t="shared" si="9"/>
        <v>6</v>
      </c>
      <c r="AK9" s="9"/>
      <c r="AL9" s="8"/>
      <c r="AM9" s="8">
        <f t="shared" si="10"/>
        <v>6</v>
      </c>
      <c r="AN9" s="9"/>
      <c r="AO9" s="8"/>
      <c r="AP9" s="8">
        <f t="shared" si="11"/>
        <v>6</v>
      </c>
      <c r="AQ9" s="9"/>
      <c r="AR9" s="8"/>
      <c r="AS9" s="8">
        <f t="shared" si="12"/>
        <v>6</v>
      </c>
      <c r="AT9" s="9"/>
      <c r="AU9" s="8"/>
      <c r="AV9" s="8">
        <f t="shared" si="13"/>
        <v>6</v>
      </c>
      <c r="AW9" s="9"/>
      <c r="AX9" s="8"/>
      <c r="AY9" s="8">
        <f t="shared" si="14"/>
        <v>6</v>
      </c>
      <c r="AZ9" s="9"/>
      <c r="BA9" s="8"/>
      <c r="BB9" s="8">
        <f t="shared" si="15"/>
        <v>6</v>
      </c>
      <c r="BC9" s="9"/>
      <c r="BD9" s="8"/>
      <c r="BE9" s="8">
        <f t="shared" si="16"/>
        <v>6</v>
      </c>
      <c r="BF9" s="9"/>
      <c r="BG9" s="8"/>
      <c r="BH9" s="8">
        <f t="shared" si="17"/>
        <v>6</v>
      </c>
      <c r="BI9" s="9"/>
      <c r="BJ9" s="8"/>
      <c r="BK9" s="8">
        <f t="shared" si="18"/>
        <v>6</v>
      </c>
      <c r="BL9" s="9"/>
      <c r="BM9" s="8"/>
      <c r="BN9" s="8">
        <f t="shared" si="19"/>
        <v>6</v>
      </c>
      <c r="BO9" s="9"/>
      <c r="BP9" s="10">
        <f t="shared" si="20"/>
        <v>0</v>
      </c>
      <c r="BQ9" s="10">
        <f t="shared" si="21"/>
        <v>6</v>
      </c>
    </row>
    <row r="10" spans="2:69" ht="30" customHeight="1" x14ac:dyDescent="0.35">
      <c r="B10" s="7" t="s">
        <v>47</v>
      </c>
      <c r="C10" s="12" t="s">
        <v>48</v>
      </c>
      <c r="D10" s="12" t="s">
        <v>49</v>
      </c>
      <c r="E10" s="7" t="s">
        <v>40</v>
      </c>
      <c r="F10" s="7" t="s">
        <v>36</v>
      </c>
      <c r="G10" s="7">
        <v>4</v>
      </c>
      <c r="H10" s="8">
        <v>0</v>
      </c>
      <c r="I10" s="8">
        <f t="shared" si="0"/>
        <v>4</v>
      </c>
      <c r="J10" s="9"/>
      <c r="K10" s="8">
        <v>0</v>
      </c>
      <c r="L10" s="8">
        <f t="shared" si="1"/>
        <v>4</v>
      </c>
      <c r="M10" s="9"/>
      <c r="N10" s="8">
        <v>0</v>
      </c>
      <c r="O10" s="8">
        <f t="shared" si="2"/>
        <v>4</v>
      </c>
      <c r="P10" s="9"/>
      <c r="Q10" s="8">
        <v>0</v>
      </c>
      <c r="R10" s="8">
        <f t="shared" si="3"/>
        <v>4</v>
      </c>
      <c r="S10" s="9"/>
      <c r="T10" s="8">
        <v>0</v>
      </c>
      <c r="U10" s="8">
        <f t="shared" si="4"/>
        <v>4</v>
      </c>
      <c r="V10" s="9"/>
      <c r="W10" s="8">
        <v>0</v>
      </c>
      <c r="X10" s="8">
        <f t="shared" si="5"/>
        <v>4</v>
      </c>
      <c r="Y10" s="9"/>
      <c r="Z10" s="8">
        <v>0</v>
      </c>
      <c r="AA10" s="8">
        <f t="shared" si="6"/>
        <v>4</v>
      </c>
      <c r="AB10" s="9"/>
      <c r="AC10" s="8">
        <v>0</v>
      </c>
      <c r="AD10" s="8">
        <f t="shared" si="7"/>
        <v>4</v>
      </c>
      <c r="AE10" s="9"/>
      <c r="AF10" s="8">
        <v>0</v>
      </c>
      <c r="AG10" s="8">
        <f t="shared" si="8"/>
        <v>4</v>
      </c>
      <c r="AH10" s="9"/>
      <c r="AI10" s="8">
        <v>0</v>
      </c>
      <c r="AJ10" s="8">
        <f t="shared" si="9"/>
        <v>4</v>
      </c>
      <c r="AK10" s="9"/>
      <c r="AL10" s="8"/>
      <c r="AM10" s="8">
        <f t="shared" si="10"/>
        <v>4</v>
      </c>
      <c r="AN10" s="9"/>
      <c r="AO10" s="8"/>
      <c r="AP10" s="8">
        <f t="shared" si="11"/>
        <v>4</v>
      </c>
      <c r="AQ10" s="9"/>
      <c r="AR10" s="8"/>
      <c r="AS10" s="8">
        <f t="shared" si="12"/>
        <v>4</v>
      </c>
      <c r="AT10" s="9"/>
      <c r="AU10" s="8"/>
      <c r="AV10" s="8">
        <f t="shared" si="13"/>
        <v>4</v>
      </c>
      <c r="AW10" s="9"/>
      <c r="AX10" s="8"/>
      <c r="AY10" s="8">
        <f t="shared" si="14"/>
        <v>4</v>
      </c>
      <c r="AZ10" s="9"/>
      <c r="BA10" s="8"/>
      <c r="BB10" s="8">
        <f t="shared" si="15"/>
        <v>4</v>
      </c>
      <c r="BC10" s="9"/>
      <c r="BD10" s="8"/>
      <c r="BE10" s="8">
        <f t="shared" si="16"/>
        <v>4</v>
      </c>
      <c r="BF10" s="9"/>
      <c r="BG10" s="8"/>
      <c r="BH10" s="8">
        <f t="shared" si="17"/>
        <v>4</v>
      </c>
      <c r="BI10" s="9"/>
      <c r="BJ10" s="8"/>
      <c r="BK10" s="8">
        <f t="shared" si="18"/>
        <v>4</v>
      </c>
      <c r="BL10" s="9"/>
      <c r="BM10" s="8"/>
      <c r="BN10" s="8">
        <f t="shared" si="19"/>
        <v>4</v>
      </c>
      <c r="BO10" s="9"/>
      <c r="BP10" s="10">
        <f t="shared" si="20"/>
        <v>0</v>
      </c>
      <c r="BQ10" s="10">
        <f t="shared" si="21"/>
        <v>4</v>
      </c>
    </row>
    <row r="11" spans="2:69" ht="30" customHeight="1" x14ac:dyDescent="0.35">
      <c r="B11" s="7" t="s">
        <v>50</v>
      </c>
      <c r="C11" s="12" t="s">
        <v>51</v>
      </c>
      <c r="D11" s="12" t="s">
        <v>52</v>
      </c>
      <c r="E11" s="7" t="s">
        <v>40</v>
      </c>
      <c r="F11" s="7" t="s">
        <v>36</v>
      </c>
      <c r="G11" s="7">
        <v>6</v>
      </c>
      <c r="H11" s="8">
        <v>0</v>
      </c>
      <c r="I11" s="8">
        <f t="shared" si="0"/>
        <v>6</v>
      </c>
      <c r="J11" s="9"/>
      <c r="K11" s="8">
        <v>0</v>
      </c>
      <c r="L11" s="8">
        <f t="shared" si="1"/>
        <v>6</v>
      </c>
      <c r="M11" s="9"/>
      <c r="N11" s="8">
        <v>0</v>
      </c>
      <c r="O11" s="8">
        <f t="shared" si="2"/>
        <v>6</v>
      </c>
      <c r="P11" s="9"/>
      <c r="Q11" s="8">
        <v>0</v>
      </c>
      <c r="R11" s="8">
        <f t="shared" si="3"/>
        <v>6</v>
      </c>
      <c r="S11" s="9"/>
      <c r="T11" s="8">
        <v>0</v>
      </c>
      <c r="U11" s="8">
        <f t="shared" si="4"/>
        <v>6</v>
      </c>
      <c r="V11" s="9"/>
      <c r="W11" s="8">
        <v>0</v>
      </c>
      <c r="X11" s="8">
        <f t="shared" si="5"/>
        <v>6</v>
      </c>
      <c r="Y11" s="9"/>
      <c r="Z11" s="8">
        <v>0</v>
      </c>
      <c r="AA11" s="8">
        <f t="shared" si="6"/>
        <v>6</v>
      </c>
      <c r="AB11" s="9"/>
      <c r="AC11" s="8">
        <v>0</v>
      </c>
      <c r="AD11" s="8">
        <f t="shared" si="7"/>
        <v>6</v>
      </c>
      <c r="AE11" s="9"/>
      <c r="AF11" s="8">
        <v>0</v>
      </c>
      <c r="AG11" s="8">
        <f t="shared" si="8"/>
        <v>6</v>
      </c>
      <c r="AH11" s="9"/>
      <c r="AI11" s="8">
        <v>0</v>
      </c>
      <c r="AJ11" s="8">
        <f t="shared" si="9"/>
        <v>6</v>
      </c>
      <c r="AK11" s="9"/>
      <c r="AL11" s="8"/>
      <c r="AM11" s="8">
        <f t="shared" si="10"/>
        <v>6</v>
      </c>
      <c r="AN11" s="9"/>
      <c r="AO11" s="8"/>
      <c r="AP11" s="8">
        <f t="shared" si="11"/>
        <v>6</v>
      </c>
      <c r="AQ11" s="9"/>
      <c r="AR11" s="8"/>
      <c r="AS11" s="8">
        <f t="shared" si="12"/>
        <v>6</v>
      </c>
      <c r="AT11" s="9"/>
      <c r="AU11" s="8"/>
      <c r="AV11" s="8">
        <f t="shared" si="13"/>
        <v>6</v>
      </c>
      <c r="AW11" s="9"/>
      <c r="AX11" s="8"/>
      <c r="AY11" s="8">
        <f t="shared" si="14"/>
        <v>6</v>
      </c>
      <c r="AZ11" s="9"/>
      <c r="BA11" s="8"/>
      <c r="BB11" s="8">
        <f t="shared" si="15"/>
        <v>6</v>
      </c>
      <c r="BC11" s="9"/>
      <c r="BD11" s="8"/>
      <c r="BE11" s="8">
        <f t="shared" si="16"/>
        <v>6</v>
      </c>
      <c r="BF11" s="9"/>
      <c r="BG11" s="8"/>
      <c r="BH11" s="8">
        <f t="shared" si="17"/>
        <v>6</v>
      </c>
      <c r="BI11" s="9"/>
      <c r="BJ11" s="8"/>
      <c r="BK11" s="8">
        <f t="shared" si="18"/>
        <v>6</v>
      </c>
      <c r="BL11" s="9"/>
      <c r="BM11" s="8"/>
      <c r="BN11" s="8">
        <f t="shared" si="19"/>
        <v>6</v>
      </c>
      <c r="BO11" s="9"/>
      <c r="BP11" s="10">
        <f t="shared" si="20"/>
        <v>0</v>
      </c>
      <c r="BQ11" s="10">
        <f t="shared" si="21"/>
        <v>6</v>
      </c>
    </row>
    <row r="12" spans="2:69" ht="30" customHeight="1" x14ac:dyDescent="0.35">
      <c r="B12" s="7" t="s">
        <v>53</v>
      </c>
      <c r="C12" s="12" t="s">
        <v>54</v>
      </c>
      <c r="D12" s="12" t="s">
        <v>55</v>
      </c>
      <c r="E12" s="7" t="s">
        <v>40</v>
      </c>
      <c r="F12" s="7" t="s">
        <v>36</v>
      </c>
      <c r="G12" s="7">
        <v>2</v>
      </c>
      <c r="H12" s="8">
        <v>0</v>
      </c>
      <c r="I12" s="8">
        <f t="shared" si="0"/>
        <v>2</v>
      </c>
      <c r="J12" s="9"/>
      <c r="K12" s="8">
        <v>0</v>
      </c>
      <c r="L12" s="8">
        <f t="shared" si="1"/>
        <v>2</v>
      </c>
      <c r="M12" s="9"/>
      <c r="N12" s="8">
        <v>0</v>
      </c>
      <c r="O12" s="8">
        <f t="shared" si="2"/>
        <v>2</v>
      </c>
      <c r="P12" s="9"/>
      <c r="Q12" s="8">
        <v>0</v>
      </c>
      <c r="R12" s="8">
        <f t="shared" si="3"/>
        <v>2</v>
      </c>
      <c r="S12" s="9"/>
      <c r="T12" s="8">
        <v>0</v>
      </c>
      <c r="U12" s="8">
        <f t="shared" si="4"/>
        <v>2</v>
      </c>
      <c r="V12" s="9"/>
      <c r="W12" s="8">
        <v>0</v>
      </c>
      <c r="X12" s="8">
        <f t="shared" si="5"/>
        <v>2</v>
      </c>
      <c r="Y12" s="9"/>
      <c r="Z12" s="8">
        <v>0</v>
      </c>
      <c r="AA12" s="8">
        <f t="shared" si="6"/>
        <v>2</v>
      </c>
      <c r="AB12" s="9"/>
      <c r="AC12" s="8">
        <v>0</v>
      </c>
      <c r="AD12" s="8">
        <f t="shared" si="7"/>
        <v>2</v>
      </c>
      <c r="AE12" s="9"/>
      <c r="AF12" s="8">
        <v>0</v>
      </c>
      <c r="AG12" s="8">
        <f t="shared" si="8"/>
        <v>2</v>
      </c>
      <c r="AH12" s="9"/>
      <c r="AI12" s="8">
        <v>0</v>
      </c>
      <c r="AJ12" s="8">
        <f t="shared" si="9"/>
        <v>2</v>
      </c>
      <c r="AK12" s="9"/>
      <c r="AL12" s="8"/>
      <c r="AM12" s="8">
        <f t="shared" si="10"/>
        <v>2</v>
      </c>
      <c r="AN12" s="9"/>
      <c r="AO12" s="8"/>
      <c r="AP12" s="8">
        <f t="shared" si="11"/>
        <v>2</v>
      </c>
      <c r="AQ12" s="9"/>
      <c r="AR12" s="8"/>
      <c r="AS12" s="8">
        <f t="shared" si="12"/>
        <v>2</v>
      </c>
      <c r="AT12" s="9"/>
      <c r="AU12" s="8"/>
      <c r="AV12" s="8">
        <f t="shared" si="13"/>
        <v>2</v>
      </c>
      <c r="AW12" s="9"/>
      <c r="AX12" s="8"/>
      <c r="AY12" s="8">
        <f t="shared" si="14"/>
        <v>2</v>
      </c>
      <c r="AZ12" s="9"/>
      <c r="BA12" s="8"/>
      <c r="BB12" s="8">
        <f t="shared" si="15"/>
        <v>2</v>
      </c>
      <c r="BC12" s="9"/>
      <c r="BD12" s="8"/>
      <c r="BE12" s="8">
        <f t="shared" si="16"/>
        <v>2</v>
      </c>
      <c r="BF12" s="9"/>
      <c r="BG12" s="8"/>
      <c r="BH12" s="8">
        <f t="shared" si="17"/>
        <v>2</v>
      </c>
      <c r="BI12" s="9"/>
      <c r="BJ12" s="8"/>
      <c r="BK12" s="8">
        <f t="shared" si="18"/>
        <v>2</v>
      </c>
      <c r="BL12" s="9"/>
      <c r="BM12" s="8"/>
      <c r="BN12" s="8">
        <f t="shared" si="19"/>
        <v>2</v>
      </c>
      <c r="BO12" s="9"/>
      <c r="BP12" s="10">
        <f t="shared" si="20"/>
        <v>0</v>
      </c>
      <c r="BQ12" s="10">
        <f t="shared" si="21"/>
        <v>2</v>
      </c>
    </row>
    <row r="13" spans="2:69" ht="30" customHeight="1" x14ac:dyDescent="0.35">
      <c r="B13" s="7" t="s">
        <v>56</v>
      </c>
      <c r="C13" s="12" t="s">
        <v>57</v>
      </c>
      <c r="D13" s="12" t="s">
        <v>58</v>
      </c>
      <c r="E13" s="7" t="s">
        <v>40</v>
      </c>
      <c r="F13" s="7" t="s">
        <v>36</v>
      </c>
      <c r="G13" s="7">
        <v>4</v>
      </c>
      <c r="H13" s="8">
        <v>0</v>
      </c>
      <c r="I13" s="8">
        <f t="shared" si="0"/>
        <v>4</v>
      </c>
      <c r="J13" s="9"/>
      <c r="K13" s="8">
        <v>0</v>
      </c>
      <c r="L13" s="8">
        <f t="shared" si="1"/>
        <v>4</v>
      </c>
      <c r="M13" s="9"/>
      <c r="N13" s="8">
        <v>0</v>
      </c>
      <c r="O13" s="8">
        <f t="shared" si="2"/>
        <v>4</v>
      </c>
      <c r="P13" s="9"/>
      <c r="Q13" s="8">
        <v>0</v>
      </c>
      <c r="R13" s="8">
        <f t="shared" si="3"/>
        <v>4</v>
      </c>
      <c r="S13" s="9"/>
      <c r="T13" s="8">
        <v>0</v>
      </c>
      <c r="U13" s="8">
        <f t="shared" si="4"/>
        <v>4</v>
      </c>
      <c r="V13" s="9"/>
      <c r="W13" s="8">
        <v>0</v>
      </c>
      <c r="X13" s="8">
        <f t="shared" si="5"/>
        <v>4</v>
      </c>
      <c r="Y13" s="9"/>
      <c r="Z13" s="8">
        <v>0</v>
      </c>
      <c r="AA13" s="8">
        <f t="shared" si="6"/>
        <v>4</v>
      </c>
      <c r="AB13" s="9"/>
      <c r="AC13" s="8">
        <v>0</v>
      </c>
      <c r="AD13" s="8">
        <f t="shared" si="7"/>
        <v>4</v>
      </c>
      <c r="AE13" s="9"/>
      <c r="AF13" s="8">
        <v>0</v>
      </c>
      <c r="AG13" s="8">
        <f t="shared" si="8"/>
        <v>4</v>
      </c>
      <c r="AH13" s="9"/>
      <c r="AI13" s="8">
        <v>0</v>
      </c>
      <c r="AJ13" s="8">
        <f t="shared" si="9"/>
        <v>4</v>
      </c>
      <c r="AK13" s="9"/>
      <c r="AL13" s="8"/>
      <c r="AM13" s="8">
        <f t="shared" si="10"/>
        <v>4</v>
      </c>
      <c r="AN13" s="9"/>
      <c r="AO13" s="8"/>
      <c r="AP13" s="8">
        <f t="shared" si="11"/>
        <v>4</v>
      </c>
      <c r="AQ13" s="9"/>
      <c r="AR13" s="8"/>
      <c r="AS13" s="8">
        <f t="shared" si="12"/>
        <v>4</v>
      </c>
      <c r="AT13" s="9"/>
      <c r="AU13" s="8"/>
      <c r="AV13" s="8">
        <f t="shared" si="13"/>
        <v>4</v>
      </c>
      <c r="AW13" s="9"/>
      <c r="AX13" s="8"/>
      <c r="AY13" s="8">
        <f t="shared" si="14"/>
        <v>4</v>
      </c>
      <c r="AZ13" s="9"/>
      <c r="BA13" s="8"/>
      <c r="BB13" s="8">
        <f t="shared" si="15"/>
        <v>4</v>
      </c>
      <c r="BC13" s="9"/>
      <c r="BD13" s="8"/>
      <c r="BE13" s="8">
        <f t="shared" si="16"/>
        <v>4</v>
      </c>
      <c r="BF13" s="9"/>
      <c r="BG13" s="8"/>
      <c r="BH13" s="8">
        <f t="shared" si="17"/>
        <v>4</v>
      </c>
      <c r="BI13" s="9"/>
      <c r="BJ13" s="8"/>
      <c r="BK13" s="8">
        <f t="shared" si="18"/>
        <v>4</v>
      </c>
      <c r="BL13" s="9"/>
      <c r="BM13" s="8"/>
      <c r="BN13" s="8">
        <f t="shared" si="19"/>
        <v>4</v>
      </c>
      <c r="BO13" s="9"/>
      <c r="BP13" s="10">
        <f t="shared" si="20"/>
        <v>0</v>
      </c>
      <c r="BQ13" s="10">
        <f t="shared" si="21"/>
        <v>4</v>
      </c>
    </row>
    <row r="14" spans="2:69" ht="30" customHeight="1" x14ac:dyDescent="0.35">
      <c r="B14" s="7" t="s">
        <v>59</v>
      </c>
      <c r="C14" s="12" t="s">
        <v>60</v>
      </c>
      <c r="D14" s="12" t="s">
        <v>61</v>
      </c>
      <c r="E14" s="7" t="s">
        <v>62</v>
      </c>
      <c r="F14" s="7" t="s">
        <v>36</v>
      </c>
      <c r="G14" s="7">
        <v>10</v>
      </c>
      <c r="H14" s="8">
        <v>0</v>
      </c>
      <c r="I14" s="8">
        <f t="shared" si="0"/>
        <v>10</v>
      </c>
      <c r="J14" s="9"/>
      <c r="K14" s="8">
        <v>0</v>
      </c>
      <c r="L14" s="8">
        <f t="shared" si="1"/>
        <v>10</v>
      </c>
      <c r="M14" s="9"/>
      <c r="N14" s="8">
        <v>0</v>
      </c>
      <c r="O14" s="8">
        <f t="shared" si="2"/>
        <v>10</v>
      </c>
      <c r="P14" s="9"/>
      <c r="Q14" s="8">
        <v>0</v>
      </c>
      <c r="R14" s="8">
        <f t="shared" si="3"/>
        <v>10</v>
      </c>
      <c r="S14" s="9"/>
      <c r="T14" s="8">
        <v>0</v>
      </c>
      <c r="U14" s="8">
        <f t="shared" si="4"/>
        <v>10</v>
      </c>
      <c r="V14" s="9"/>
      <c r="W14" s="8">
        <v>0</v>
      </c>
      <c r="X14" s="8">
        <f t="shared" si="5"/>
        <v>10</v>
      </c>
      <c r="Y14" s="9"/>
      <c r="Z14" s="8">
        <v>0</v>
      </c>
      <c r="AA14" s="8">
        <f t="shared" si="6"/>
        <v>10</v>
      </c>
      <c r="AB14" s="9"/>
      <c r="AC14" s="8">
        <v>0</v>
      </c>
      <c r="AD14" s="8">
        <f t="shared" si="7"/>
        <v>10</v>
      </c>
      <c r="AE14" s="9"/>
      <c r="AF14" s="8">
        <v>0</v>
      </c>
      <c r="AG14" s="8">
        <f t="shared" si="8"/>
        <v>10</v>
      </c>
      <c r="AH14" s="9"/>
      <c r="AI14" s="8">
        <v>0</v>
      </c>
      <c r="AJ14" s="8">
        <f t="shared" si="9"/>
        <v>10</v>
      </c>
      <c r="AK14" s="9"/>
      <c r="AL14" s="8"/>
      <c r="AM14" s="8">
        <f t="shared" si="10"/>
        <v>10</v>
      </c>
      <c r="AN14" s="9"/>
      <c r="AO14" s="8"/>
      <c r="AP14" s="8">
        <f t="shared" si="11"/>
        <v>10</v>
      </c>
      <c r="AQ14" s="9"/>
      <c r="AR14" s="8"/>
      <c r="AS14" s="8">
        <f t="shared" si="12"/>
        <v>10</v>
      </c>
      <c r="AT14" s="9"/>
      <c r="AU14" s="8"/>
      <c r="AV14" s="8">
        <f t="shared" si="13"/>
        <v>10</v>
      </c>
      <c r="AW14" s="9"/>
      <c r="AX14" s="8"/>
      <c r="AY14" s="8">
        <f t="shared" si="14"/>
        <v>10</v>
      </c>
      <c r="AZ14" s="9"/>
      <c r="BA14" s="8"/>
      <c r="BB14" s="8">
        <f t="shared" si="15"/>
        <v>10</v>
      </c>
      <c r="BC14" s="9"/>
      <c r="BD14" s="8"/>
      <c r="BE14" s="8">
        <f t="shared" si="16"/>
        <v>10</v>
      </c>
      <c r="BF14" s="9"/>
      <c r="BG14" s="8"/>
      <c r="BH14" s="8">
        <f t="shared" si="17"/>
        <v>10</v>
      </c>
      <c r="BI14" s="9"/>
      <c r="BJ14" s="8"/>
      <c r="BK14" s="8">
        <f t="shared" si="18"/>
        <v>10</v>
      </c>
      <c r="BL14" s="9"/>
      <c r="BM14" s="8"/>
      <c r="BN14" s="8">
        <f t="shared" si="19"/>
        <v>10</v>
      </c>
      <c r="BO14" s="9"/>
      <c r="BP14" s="10">
        <f t="shared" si="20"/>
        <v>0</v>
      </c>
      <c r="BQ14" s="10">
        <f t="shared" si="21"/>
        <v>10</v>
      </c>
    </row>
    <row r="15" spans="2:69" ht="30" customHeight="1" x14ac:dyDescent="0.35">
      <c r="B15" s="7" t="s">
        <v>63</v>
      </c>
      <c r="C15" s="12" t="s">
        <v>64</v>
      </c>
      <c r="D15" s="12" t="s">
        <v>65</v>
      </c>
      <c r="E15" s="7" t="s">
        <v>66</v>
      </c>
      <c r="F15" s="7" t="s">
        <v>36</v>
      </c>
      <c r="G15" s="7">
        <v>4</v>
      </c>
      <c r="H15" s="8">
        <v>0</v>
      </c>
      <c r="I15" s="8">
        <f t="shared" si="0"/>
        <v>4</v>
      </c>
      <c r="J15" s="9"/>
      <c r="K15" s="8">
        <v>0</v>
      </c>
      <c r="L15" s="8">
        <f t="shared" si="1"/>
        <v>4</v>
      </c>
      <c r="M15" s="9"/>
      <c r="N15" s="8">
        <v>0</v>
      </c>
      <c r="O15" s="8">
        <f t="shared" si="2"/>
        <v>4</v>
      </c>
      <c r="P15" s="9"/>
      <c r="Q15" s="8">
        <v>0</v>
      </c>
      <c r="R15" s="8">
        <f t="shared" si="3"/>
        <v>4</v>
      </c>
      <c r="S15" s="9"/>
      <c r="T15" s="8">
        <v>0</v>
      </c>
      <c r="U15" s="8">
        <f t="shared" si="4"/>
        <v>4</v>
      </c>
      <c r="V15" s="9"/>
      <c r="W15" s="8">
        <v>0</v>
      </c>
      <c r="X15" s="8">
        <f t="shared" si="5"/>
        <v>4</v>
      </c>
      <c r="Y15" s="9"/>
      <c r="Z15" s="8">
        <v>0</v>
      </c>
      <c r="AA15" s="8">
        <f t="shared" si="6"/>
        <v>4</v>
      </c>
      <c r="AB15" s="9"/>
      <c r="AC15" s="8">
        <v>0</v>
      </c>
      <c r="AD15" s="8">
        <f t="shared" si="7"/>
        <v>4</v>
      </c>
      <c r="AE15" s="9"/>
      <c r="AF15" s="8">
        <v>0</v>
      </c>
      <c r="AG15" s="8">
        <f t="shared" si="8"/>
        <v>4</v>
      </c>
      <c r="AH15" s="9"/>
      <c r="AI15" s="8">
        <v>0</v>
      </c>
      <c r="AJ15" s="8">
        <f t="shared" si="9"/>
        <v>4</v>
      </c>
      <c r="AK15" s="9"/>
      <c r="AL15" s="8"/>
      <c r="AM15" s="8">
        <f t="shared" si="10"/>
        <v>4</v>
      </c>
      <c r="AN15" s="9"/>
      <c r="AO15" s="8"/>
      <c r="AP15" s="8">
        <f t="shared" si="11"/>
        <v>4</v>
      </c>
      <c r="AQ15" s="9"/>
      <c r="AR15" s="8"/>
      <c r="AS15" s="8">
        <f t="shared" si="12"/>
        <v>4</v>
      </c>
      <c r="AT15" s="9"/>
      <c r="AU15" s="8"/>
      <c r="AV15" s="8">
        <f t="shared" si="13"/>
        <v>4</v>
      </c>
      <c r="AW15" s="9"/>
      <c r="AX15" s="8"/>
      <c r="AY15" s="8">
        <f t="shared" si="14"/>
        <v>4</v>
      </c>
      <c r="AZ15" s="9"/>
      <c r="BA15" s="8"/>
      <c r="BB15" s="8">
        <f t="shared" si="15"/>
        <v>4</v>
      </c>
      <c r="BC15" s="9"/>
      <c r="BD15" s="8"/>
      <c r="BE15" s="8">
        <f t="shared" si="16"/>
        <v>4</v>
      </c>
      <c r="BF15" s="9"/>
      <c r="BG15" s="8"/>
      <c r="BH15" s="8">
        <f t="shared" si="17"/>
        <v>4</v>
      </c>
      <c r="BI15" s="9"/>
      <c r="BJ15" s="8"/>
      <c r="BK15" s="8">
        <f t="shared" si="18"/>
        <v>4</v>
      </c>
      <c r="BL15" s="9"/>
      <c r="BM15" s="8"/>
      <c r="BN15" s="8">
        <f t="shared" si="19"/>
        <v>4</v>
      </c>
      <c r="BO15" s="9"/>
      <c r="BP15" s="10">
        <f t="shared" si="20"/>
        <v>0</v>
      </c>
      <c r="BQ15" s="10">
        <f t="shared" si="21"/>
        <v>4</v>
      </c>
    </row>
    <row r="16" spans="2:69" ht="30" customHeight="1" x14ac:dyDescent="0.35">
      <c r="B16" s="7" t="s">
        <v>67</v>
      </c>
      <c r="C16" s="12" t="s">
        <v>64</v>
      </c>
      <c r="D16" s="12" t="s">
        <v>68</v>
      </c>
      <c r="E16" s="7" t="s">
        <v>66</v>
      </c>
      <c r="F16" s="7" t="s">
        <v>36</v>
      </c>
      <c r="G16" s="7">
        <v>2</v>
      </c>
      <c r="H16" s="8">
        <v>0</v>
      </c>
      <c r="I16" s="8">
        <f t="shared" si="0"/>
        <v>2</v>
      </c>
      <c r="J16" s="9"/>
      <c r="K16" s="8">
        <v>0</v>
      </c>
      <c r="L16" s="8">
        <f t="shared" si="1"/>
        <v>2</v>
      </c>
      <c r="M16" s="9"/>
      <c r="N16" s="8">
        <v>0</v>
      </c>
      <c r="O16" s="8">
        <f t="shared" si="2"/>
        <v>2</v>
      </c>
      <c r="P16" s="9"/>
      <c r="Q16" s="8">
        <v>0</v>
      </c>
      <c r="R16" s="8">
        <f t="shared" si="3"/>
        <v>2</v>
      </c>
      <c r="S16" s="9"/>
      <c r="T16" s="8">
        <v>0</v>
      </c>
      <c r="U16" s="8">
        <f t="shared" si="4"/>
        <v>2</v>
      </c>
      <c r="V16" s="9"/>
      <c r="W16" s="8">
        <v>0</v>
      </c>
      <c r="X16" s="8">
        <f t="shared" si="5"/>
        <v>2</v>
      </c>
      <c r="Y16" s="9"/>
      <c r="Z16" s="8">
        <v>0</v>
      </c>
      <c r="AA16" s="8">
        <f t="shared" si="6"/>
        <v>2</v>
      </c>
      <c r="AB16" s="9"/>
      <c r="AC16" s="8">
        <v>0</v>
      </c>
      <c r="AD16" s="8">
        <f t="shared" si="7"/>
        <v>2</v>
      </c>
      <c r="AE16" s="9"/>
      <c r="AF16" s="8">
        <v>0</v>
      </c>
      <c r="AG16" s="8">
        <f t="shared" si="8"/>
        <v>2</v>
      </c>
      <c r="AH16" s="9"/>
      <c r="AI16" s="8">
        <v>0</v>
      </c>
      <c r="AJ16" s="8">
        <f t="shared" si="9"/>
        <v>2</v>
      </c>
      <c r="AK16" s="9"/>
      <c r="AL16" s="8"/>
      <c r="AM16" s="8">
        <f t="shared" si="10"/>
        <v>2</v>
      </c>
      <c r="AN16" s="9"/>
      <c r="AO16" s="8"/>
      <c r="AP16" s="8">
        <f t="shared" si="11"/>
        <v>2</v>
      </c>
      <c r="AQ16" s="9"/>
      <c r="AR16" s="8"/>
      <c r="AS16" s="8">
        <f t="shared" si="12"/>
        <v>2</v>
      </c>
      <c r="AT16" s="9"/>
      <c r="AU16" s="8"/>
      <c r="AV16" s="8">
        <f t="shared" si="13"/>
        <v>2</v>
      </c>
      <c r="AW16" s="9"/>
      <c r="AX16" s="8"/>
      <c r="AY16" s="8">
        <f t="shared" si="14"/>
        <v>2</v>
      </c>
      <c r="AZ16" s="9"/>
      <c r="BA16" s="8"/>
      <c r="BB16" s="8">
        <f t="shared" si="15"/>
        <v>2</v>
      </c>
      <c r="BC16" s="9"/>
      <c r="BD16" s="8"/>
      <c r="BE16" s="8">
        <f t="shared" si="16"/>
        <v>2</v>
      </c>
      <c r="BF16" s="9"/>
      <c r="BG16" s="8"/>
      <c r="BH16" s="8">
        <f t="shared" si="17"/>
        <v>2</v>
      </c>
      <c r="BI16" s="9"/>
      <c r="BJ16" s="8"/>
      <c r="BK16" s="8">
        <f t="shared" si="18"/>
        <v>2</v>
      </c>
      <c r="BL16" s="9"/>
      <c r="BM16" s="8"/>
      <c r="BN16" s="8">
        <f t="shared" si="19"/>
        <v>2</v>
      </c>
      <c r="BO16" s="9"/>
      <c r="BP16" s="10">
        <f t="shared" si="20"/>
        <v>0</v>
      </c>
      <c r="BQ16" s="10">
        <f t="shared" si="21"/>
        <v>2</v>
      </c>
    </row>
    <row r="17" spans="1:69" ht="30" customHeight="1" x14ac:dyDescent="0.35">
      <c r="B17" s="7" t="s">
        <v>69</v>
      </c>
      <c r="C17" s="12" t="s">
        <v>70</v>
      </c>
      <c r="D17" s="12" t="s">
        <v>71</v>
      </c>
      <c r="E17" s="7" t="s">
        <v>62</v>
      </c>
      <c r="F17" s="7" t="s">
        <v>36</v>
      </c>
      <c r="G17" s="7">
        <v>6</v>
      </c>
      <c r="H17" s="8">
        <v>0</v>
      </c>
      <c r="I17" s="8">
        <f t="shared" si="0"/>
        <v>6</v>
      </c>
      <c r="J17" s="9"/>
      <c r="K17" s="8">
        <v>0</v>
      </c>
      <c r="L17" s="8">
        <f t="shared" si="1"/>
        <v>6</v>
      </c>
      <c r="M17" s="9"/>
      <c r="N17" s="8">
        <v>0</v>
      </c>
      <c r="O17" s="8">
        <f t="shared" si="2"/>
        <v>6</v>
      </c>
      <c r="P17" s="9"/>
      <c r="Q17" s="8">
        <v>0</v>
      </c>
      <c r="R17" s="8">
        <f t="shared" si="3"/>
        <v>6</v>
      </c>
      <c r="S17" s="9"/>
      <c r="T17" s="8">
        <v>0</v>
      </c>
      <c r="U17" s="8">
        <f t="shared" si="4"/>
        <v>6</v>
      </c>
      <c r="V17" s="9"/>
      <c r="W17" s="8">
        <v>0</v>
      </c>
      <c r="X17" s="8">
        <f t="shared" si="5"/>
        <v>6</v>
      </c>
      <c r="Y17" s="9"/>
      <c r="Z17" s="8">
        <v>0</v>
      </c>
      <c r="AA17" s="8">
        <f t="shared" si="6"/>
        <v>6</v>
      </c>
      <c r="AB17" s="9"/>
      <c r="AC17" s="8">
        <v>0</v>
      </c>
      <c r="AD17" s="8">
        <f t="shared" si="7"/>
        <v>6</v>
      </c>
      <c r="AE17" s="9"/>
      <c r="AF17" s="8">
        <v>0</v>
      </c>
      <c r="AG17" s="8">
        <f t="shared" si="8"/>
        <v>6</v>
      </c>
      <c r="AH17" s="9"/>
      <c r="AI17" s="8">
        <v>0</v>
      </c>
      <c r="AJ17" s="8">
        <f t="shared" si="9"/>
        <v>6</v>
      </c>
      <c r="AK17" s="9"/>
      <c r="AL17" s="8"/>
      <c r="AM17" s="8">
        <f t="shared" si="10"/>
        <v>6</v>
      </c>
      <c r="AN17" s="9"/>
      <c r="AO17" s="8"/>
      <c r="AP17" s="8">
        <f t="shared" si="11"/>
        <v>6</v>
      </c>
      <c r="AQ17" s="9"/>
      <c r="AR17" s="8"/>
      <c r="AS17" s="8">
        <f t="shared" si="12"/>
        <v>6</v>
      </c>
      <c r="AT17" s="9"/>
      <c r="AU17" s="8"/>
      <c r="AV17" s="8">
        <f t="shared" si="13"/>
        <v>6</v>
      </c>
      <c r="AW17" s="9"/>
      <c r="AX17" s="8"/>
      <c r="AY17" s="8">
        <f t="shared" si="14"/>
        <v>6</v>
      </c>
      <c r="AZ17" s="9"/>
      <c r="BA17" s="8"/>
      <c r="BB17" s="8">
        <f t="shared" si="15"/>
        <v>6</v>
      </c>
      <c r="BC17" s="9"/>
      <c r="BD17" s="8"/>
      <c r="BE17" s="8">
        <f t="shared" si="16"/>
        <v>6</v>
      </c>
      <c r="BF17" s="9"/>
      <c r="BG17" s="8"/>
      <c r="BH17" s="8">
        <f t="shared" si="17"/>
        <v>6</v>
      </c>
      <c r="BI17" s="9"/>
      <c r="BJ17" s="8"/>
      <c r="BK17" s="8">
        <f t="shared" si="18"/>
        <v>6</v>
      </c>
      <c r="BL17" s="9"/>
      <c r="BM17" s="8"/>
      <c r="BN17" s="8">
        <f t="shared" si="19"/>
        <v>6</v>
      </c>
      <c r="BO17" s="9"/>
      <c r="BP17" s="10">
        <f t="shared" si="20"/>
        <v>0</v>
      </c>
      <c r="BQ17" s="10">
        <f t="shared" si="21"/>
        <v>6</v>
      </c>
    </row>
    <row r="18" spans="1:69" ht="30" customHeight="1" x14ac:dyDescent="0.35">
      <c r="B18" s="7" t="s">
        <v>86</v>
      </c>
      <c r="C18" s="12" t="s">
        <v>87</v>
      </c>
      <c r="D18" s="12" t="s">
        <v>88</v>
      </c>
      <c r="E18" s="7" t="s">
        <v>35</v>
      </c>
      <c r="F18" s="7" t="s">
        <v>36</v>
      </c>
      <c r="G18" s="7">
        <v>6</v>
      </c>
      <c r="H18" s="8"/>
      <c r="I18" s="8">
        <v>6</v>
      </c>
      <c r="J18" s="9"/>
      <c r="K18" s="8"/>
      <c r="L18" s="8">
        <v>6</v>
      </c>
      <c r="M18" s="9"/>
      <c r="N18" s="8"/>
      <c r="O18" s="8">
        <v>6</v>
      </c>
      <c r="P18" s="9"/>
      <c r="Q18" s="8"/>
      <c r="R18" s="8">
        <v>6</v>
      </c>
      <c r="S18" s="9"/>
      <c r="T18" s="8"/>
      <c r="U18" s="8">
        <v>6</v>
      </c>
      <c r="V18" s="9"/>
      <c r="W18" s="8"/>
      <c r="X18" s="8">
        <v>6</v>
      </c>
      <c r="Y18" s="9"/>
      <c r="Z18" s="8"/>
      <c r="AA18" s="8">
        <v>6</v>
      </c>
      <c r="AB18" s="9"/>
      <c r="AC18" s="8"/>
      <c r="AD18" s="8">
        <v>6</v>
      </c>
      <c r="AE18" s="9"/>
      <c r="AF18" s="8"/>
      <c r="AG18" s="8">
        <v>6</v>
      </c>
      <c r="AH18" s="9"/>
      <c r="AI18" s="8"/>
      <c r="AJ18" s="8">
        <v>6</v>
      </c>
      <c r="AK18" s="9"/>
      <c r="AL18" s="8"/>
      <c r="AM18" s="8">
        <v>6</v>
      </c>
      <c r="AN18" s="9"/>
      <c r="AO18" s="8"/>
      <c r="AP18" s="8">
        <v>6</v>
      </c>
      <c r="AQ18" s="9"/>
      <c r="AR18" s="8"/>
      <c r="AS18" s="8">
        <v>6</v>
      </c>
      <c r="AT18" s="9"/>
      <c r="AU18" s="8"/>
      <c r="AV18" s="8">
        <v>6</v>
      </c>
      <c r="AW18" s="9"/>
      <c r="AX18" s="8"/>
      <c r="AY18" s="8">
        <v>6</v>
      </c>
      <c r="AZ18" s="9"/>
      <c r="BA18" s="8"/>
      <c r="BB18" s="8">
        <v>6</v>
      </c>
      <c r="BC18" s="9"/>
      <c r="BD18" s="8"/>
      <c r="BE18" s="8">
        <v>6</v>
      </c>
      <c r="BF18" s="9"/>
      <c r="BG18" s="8"/>
      <c r="BH18" s="8">
        <v>6</v>
      </c>
      <c r="BI18" s="9"/>
      <c r="BJ18" s="8"/>
      <c r="BK18" s="8">
        <v>6</v>
      </c>
      <c r="BL18" s="9"/>
      <c r="BM18" s="8"/>
      <c r="BN18" s="8">
        <v>6</v>
      </c>
      <c r="BO18" s="9"/>
      <c r="BP18" s="10"/>
      <c r="BQ18" s="10">
        <v>6</v>
      </c>
    </row>
    <row r="19" spans="1:69" x14ac:dyDescent="0.35">
      <c r="A19" s="13"/>
      <c r="B19" s="14" t="s">
        <v>23</v>
      </c>
      <c r="C19" s="14"/>
      <c r="D19" s="14"/>
      <c r="E19" s="14"/>
      <c r="F19" s="14"/>
      <c r="G19" s="14">
        <f>SUM(G6:G18)</f>
        <v>65</v>
      </c>
      <c r="H19" s="15">
        <f>SUM(H6:H17)</f>
        <v>0</v>
      </c>
      <c r="I19" s="15">
        <f>SUM(I6:I17)</f>
        <v>59</v>
      </c>
      <c r="J19" s="16"/>
      <c r="K19" s="15">
        <f>SUM(K6:K17)</f>
        <v>0</v>
      </c>
      <c r="L19" s="15">
        <f>SUM(L6:L17)</f>
        <v>59</v>
      </c>
      <c r="M19" s="16"/>
      <c r="N19" s="15">
        <f>SUM(N6:N17)</f>
        <v>0</v>
      </c>
      <c r="O19" s="15">
        <f>SUM(O6:O17)</f>
        <v>59</v>
      </c>
      <c r="P19" s="16"/>
      <c r="Q19" s="15">
        <f>SUM(Q6:Q17)</f>
        <v>0</v>
      </c>
      <c r="R19" s="15">
        <f>SUM(R6:R17)</f>
        <v>59</v>
      </c>
      <c r="S19" s="16"/>
      <c r="T19" s="15">
        <f>SUM(T6:T17)</f>
        <v>0</v>
      </c>
      <c r="U19" s="15">
        <f>SUM(U6:U17)</f>
        <v>59</v>
      </c>
      <c r="V19" s="16"/>
      <c r="W19" s="15">
        <f>SUM(W6:W17)</f>
        <v>0</v>
      </c>
      <c r="X19" s="15">
        <f>SUM(X6:X17)</f>
        <v>59</v>
      </c>
      <c r="Y19" s="16"/>
      <c r="Z19" s="15">
        <f>SUM(Z6:Z17)</f>
        <v>0</v>
      </c>
      <c r="AA19" s="15">
        <f>SUM(AA6:AA17)</f>
        <v>59</v>
      </c>
      <c r="AB19" s="16"/>
      <c r="AC19" s="15">
        <f>SUM(AC6:AC17)</f>
        <v>0</v>
      </c>
      <c r="AD19" s="15">
        <f>SUM(AD6:AD17)</f>
        <v>59</v>
      </c>
      <c r="AE19" s="16"/>
      <c r="AF19" s="15">
        <f>SUM(AF6:AF17)</f>
        <v>0</v>
      </c>
      <c r="AG19" s="15">
        <f>SUM(AG6:AG17)</f>
        <v>59</v>
      </c>
      <c r="AH19" s="16"/>
      <c r="AI19" s="15">
        <f>SUM(AI6:AI17)</f>
        <v>0</v>
      </c>
      <c r="AJ19" s="15">
        <f>SUM(AJ6:AJ17)</f>
        <v>59</v>
      </c>
      <c r="AK19" s="16"/>
      <c r="AL19" s="15">
        <f>SUM(AL6:AL17)</f>
        <v>0</v>
      </c>
      <c r="AM19" s="15">
        <f>SUM(AM6:AM17)</f>
        <v>59</v>
      </c>
      <c r="AN19" s="16"/>
      <c r="AO19" s="15">
        <f>SUM(AO6:AO17)</f>
        <v>0</v>
      </c>
      <c r="AP19" s="15">
        <f>SUM(AP6:AP17)</f>
        <v>59</v>
      </c>
      <c r="AQ19" s="16"/>
      <c r="AR19" s="15">
        <f>SUM(AR6:AR17)</f>
        <v>0</v>
      </c>
      <c r="AS19" s="15">
        <f>SUM(AS6:AS17)</f>
        <v>59</v>
      </c>
      <c r="AT19" s="16"/>
      <c r="AU19" s="15">
        <f>SUM(AU6:AU17)</f>
        <v>0</v>
      </c>
      <c r="AV19" s="15">
        <f>SUM(AV6:AV17)</f>
        <v>59</v>
      </c>
      <c r="AW19" s="16"/>
      <c r="AX19" s="15">
        <f>SUM(AX6:AX17)</f>
        <v>0</v>
      </c>
      <c r="AY19" s="15">
        <f>SUM(AY6:AY17)</f>
        <v>59</v>
      </c>
      <c r="AZ19" s="16"/>
      <c r="BA19" s="15">
        <f>SUM(BA6:BA17)</f>
        <v>0</v>
      </c>
      <c r="BB19" s="15">
        <f>SUM(BB6:BB17)</f>
        <v>59</v>
      </c>
      <c r="BC19" s="16"/>
      <c r="BD19" s="15">
        <f>SUM(BD6:BD17)</f>
        <v>0</v>
      </c>
      <c r="BE19" s="15">
        <f>SUM(BE6:BE17)</f>
        <v>59</v>
      </c>
      <c r="BF19" s="16"/>
      <c r="BG19" s="15">
        <f>SUM(BG6:BG17)</f>
        <v>0</v>
      </c>
      <c r="BH19" s="15">
        <f>SUM(BH6:BH17)</f>
        <v>59</v>
      </c>
      <c r="BI19" s="16"/>
      <c r="BJ19" s="15">
        <f>SUM(BJ6:BJ17)</f>
        <v>0</v>
      </c>
      <c r="BK19" s="15">
        <f>SUM(BK6:BK17)</f>
        <v>59</v>
      </c>
      <c r="BL19" s="16"/>
      <c r="BM19" s="15">
        <f>SUM(BM6:BM17)</f>
        <v>0</v>
      </c>
      <c r="BN19" s="15">
        <f>SUM(BN6:BN17)</f>
        <v>59</v>
      </c>
      <c r="BO19" s="16"/>
      <c r="BP19" s="17">
        <f>SUM(BP6:BP17)</f>
        <v>0</v>
      </c>
      <c r="BQ19" s="17">
        <f>SUM(BQ6:BQ18)</f>
        <v>65</v>
      </c>
    </row>
  </sheetData>
  <mergeCells count="21">
    <mergeCell ref="BP4:BQ4"/>
    <mergeCell ref="BG4:BH4"/>
    <mergeCell ref="AR4:AS4"/>
    <mergeCell ref="Q4:R4"/>
    <mergeCell ref="AC4:AD4"/>
    <mergeCell ref="AI4:AJ4"/>
    <mergeCell ref="BD4:BE4"/>
    <mergeCell ref="AO4:AP4"/>
    <mergeCell ref="BA4:BB4"/>
    <mergeCell ref="Z4:AA4"/>
    <mergeCell ref="AL4:AM4"/>
    <mergeCell ref="BM4:BN4"/>
    <mergeCell ref="AX4:AY4"/>
    <mergeCell ref="W4:X4"/>
    <mergeCell ref="BJ4:BK4"/>
    <mergeCell ref="H4:I4"/>
    <mergeCell ref="T4:U4"/>
    <mergeCell ref="AU4:AV4"/>
    <mergeCell ref="AF4:AG4"/>
    <mergeCell ref="K4:L4"/>
    <mergeCell ref="N4:O4"/>
  </mergeCells>
  <pageMargins left="0.62986111111111098" right="0.62986111111111098" top="0.74791666666666701" bottom="0.74791666666666701" header="0.511811023622047" footer="0.511811023622047"/>
  <pageSetup scale="69" orientation="landscape" horizontalDpi="300" verticalDpi="300" r:id="rId1"/>
  <colBreaks count="4" manualBreakCount="4">
    <brk id="21" max="1048575" man="1"/>
    <brk id="36" max="1048575" man="1"/>
    <brk id="52" max="1048575" man="1"/>
    <brk id="6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14"/>
  <sheetViews>
    <sheetView view="pageBreakPreview" zoomScaleNormal="100" workbookViewId="0">
      <selection activeCell="C9" sqref="C9"/>
    </sheetView>
  </sheetViews>
  <sheetFormatPr baseColWidth="10" defaultColWidth="11.453125" defaultRowHeight="14.5" x14ac:dyDescent="0.35"/>
  <cols>
    <col min="1" max="1" width="1.54296875" style="1" customWidth="1"/>
    <col min="2" max="2" width="27.7265625" style="1" customWidth="1"/>
    <col min="3" max="3" width="86" style="1" customWidth="1"/>
    <col min="4" max="4" width="2.81640625" style="1" customWidth="1"/>
    <col min="5" max="5" width="11.453125" style="1" customWidth="1"/>
    <col min="6" max="16384" width="11.453125" style="1"/>
  </cols>
  <sheetData>
    <row r="1" spans="2:3" ht="28.5" customHeight="1" x14ac:dyDescent="0.65">
      <c r="B1" s="2" t="s">
        <v>72</v>
      </c>
    </row>
    <row r="2" spans="2:3" ht="21" customHeight="1" x14ac:dyDescent="0.5">
      <c r="B2" s="3" t="s">
        <v>2</v>
      </c>
    </row>
    <row r="4" spans="2:3" x14ac:dyDescent="0.35">
      <c r="B4" s="11" t="s">
        <v>73</v>
      </c>
      <c r="C4" s="11" t="s">
        <v>74</v>
      </c>
    </row>
    <row r="5" spans="2:3" ht="30" customHeight="1" x14ac:dyDescent="0.35">
      <c r="B5" s="7" t="str">
        <f>'Sprint Backlog'!B5</f>
        <v>Identificador (ID) de item de product backlog</v>
      </c>
      <c r="C5" s="7" t="s">
        <v>75</v>
      </c>
    </row>
    <row r="6" spans="2:3" ht="60" customHeight="1" x14ac:dyDescent="0.35">
      <c r="B6" s="7" t="str">
        <f>'Sprint Backlog'!C5</f>
        <v>Enunciado del item de Product Backlog</v>
      </c>
      <c r="C6" s="7" t="s">
        <v>76</v>
      </c>
    </row>
    <row r="7" spans="2:3" ht="60" customHeight="1" x14ac:dyDescent="0.35">
      <c r="B7" s="7" t="s">
        <v>26</v>
      </c>
      <c r="C7" s="7" t="s">
        <v>77</v>
      </c>
    </row>
    <row r="8" spans="2:3" ht="75" customHeight="1" x14ac:dyDescent="0.35">
      <c r="B8" s="7" t="s">
        <v>27</v>
      </c>
      <c r="C8" s="7" t="s">
        <v>78</v>
      </c>
    </row>
    <row r="9" spans="2:3" ht="75" customHeight="1" x14ac:dyDescent="0.35">
      <c r="B9" s="7" t="s">
        <v>28</v>
      </c>
      <c r="C9" s="7" t="s">
        <v>79</v>
      </c>
    </row>
    <row r="10" spans="2:3" ht="45" customHeight="1" x14ac:dyDescent="0.35">
      <c r="B10" s="7" t="s">
        <v>29</v>
      </c>
      <c r="C10" s="7" t="s">
        <v>80</v>
      </c>
    </row>
    <row r="11" spans="2:3" ht="30" customHeight="1" x14ac:dyDescent="0.35">
      <c r="B11" s="7" t="s">
        <v>81</v>
      </c>
      <c r="C11" s="7" t="s">
        <v>82</v>
      </c>
    </row>
    <row r="12" spans="2:3" x14ac:dyDescent="0.35">
      <c r="B12" s="7" t="s">
        <v>30</v>
      </c>
      <c r="C12" s="7" t="s">
        <v>83</v>
      </c>
    </row>
    <row r="13" spans="2:3" ht="45" customHeight="1" x14ac:dyDescent="0.35">
      <c r="B13" s="7" t="s">
        <v>31</v>
      </c>
      <c r="C13" s="7" t="s">
        <v>84</v>
      </c>
    </row>
    <row r="14" spans="2:3" ht="30" customHeight="1" x14ac:dyDescent="0.35">
      <c r="B14" s="7" t="s">
        <v>23</v>
      </c>
      <c r="C14" s="7" t="s">
        <v>85</v>
      </c>
    </row>
  </sheetData>
  <pageMargins left="0.7" right="0.7" top="0.75" bottom="0.75" header="0.511811023622047" footer="0.511811023622047"/>
  <pageSetup paperSize="9" scale="68"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Sprint Backlog</vt:lpstr>
      <vt:lpstr>Instructivo</vt:lpstr>
      <vt:lpstr>Instructivo!Área_de_impresión</vt:lpstr>
      <vt:lpstr>'Sprint Backlog'!Área_de_impresión</vt:lpstr>
      <vt:lpstr>'Sprint Backlog'!Títulos_a_imprimir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Admusuario</cp:lastModifiedBy>
  <cp:revision>0</cp:revision>
  <cp:lastPrinted>2016-11-01T15:27:35Z</cp:lastPrinted>
  <dcterms:created xsi:type="dcterms:W3CDTF">2012-09-02T03:53:17Z</dcterms:created>
  <dcterms:modified xsi:type="dcterms:W3CDTF">2026-10-15T04:33:35Z</dcterms:modified>
  <dc:language>en-US</dc:language>
</cp:coreProperties>
</file>