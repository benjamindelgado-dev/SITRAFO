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560" tabRatio="500" firstSheet="0" activeTab="0" autoFilterDateGrouping="1"/>
  </bookViews>
  <sheets>
    <sheet xmlns:r="http://schemas.openxmlformats.org/officeDocument/2006/relationships" name="Sprint Backlog" sheetId="1" state="visible" r:id="rId1"/>
    <sheet xmlns:r="http://schemas.openxmlformats.org/officeDocument/2006/relationships" name="Instructivo" sheetId="2" state="visible" r:id="rId2"/>
  </sheets>
  <definedNames>
    <definedName name="_xlnm.Print_Titles" localSheetId="0">'Sprint Backlog'!$1:$5,'Sprint Backlog'!$B:$F</definedName>
    <definedName name="_xlnm.Print_Area" localSheetId="0">'Sprint Backlog'!$A$1:$BR$19</definedName>
    <definedName name="_xlnm.Print_Area" localSheetId="1">'Instructivo'!$A$1:$D$15</definedName>
  </definedNames>
  <calcPr calcId="191029" fullCalcOnLoad="1" iterateDelta="0.0001"/>
</workbook>
</file>

<file path=xl/styles.xml><?xml version="1.0" encoding="utf-8"?>
<styleSheet xmlns="http://schemas.openxmlformats.org/spreadsheetml/2006/main">
  <numFmts count="0"/>
  <fonts count="5">
    <font>
      <name val="Calibri"/>
      <charset val="1"/>
      <family val="2"/>
      <color theme="1"/>
      <sz val="11"/>
    </font>
    <font>
      <name val="Calibri"/>
      <charset val="1"/>
      <family val="2"/>
      <b val="1"/>
      <color theme="1"/>
      <sz val="22"/>
    </font>
    <font>
      <name val="Calibri"/>
      <charset val="1"/>
      <family val="2"/>
      <b val="1"/>
      <color theme="3"/>
      <sz val="16"/>
    </font>
    <font>
      <name val="Calibri"/>
      <charset val="1"/>
      <family val="2"/>
      <color theme="0"/>
      <sz val="11"/>
    </font>
    <font>
      <name val="Calibri"/>
      <b val="1"/>
      <sz val="11"/>
    </font>
  </fonts>
  <fills count="6">
    <fill>
      <patternFill/>
    </fill>
    <fill>
      <patternFill patternType="gray125"/>
    </fill>
    <fill>
      <patternFill patternType="solid">
        <fgColor theme="0"/>
        <bgColor rgb="FFFFFFCC"/>
      </patternFill>
    </fill>
    <fill>
      <patternFill patternType="solid">
        <fgColor theme="3"/>
        <bgColor rgb="FF003366"/>
      </patternFill>
    </fill>
    <fill>
      <patternFill patternType="solid">
        <fgColor theme="6" tint="0.5998718222602009"/>
        <bgColor rgb="FFB9CDE5"/>
      </patternFill>
    </fill>
    <fill>
      <patternFill patternType="solid">
        <fgColor theme="4" tint="0.5998718222602009"/>
        <bgColor rgb="FFC0C0C0"/>
      </patternFill>
    </fill>
  </fills>
  <borders count="7">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s>
  <cellStyleXfs count="1">
    <xf numFmtId="0" fontId="0" fillId="0" borderId="0"/>
  </cellStyleXfs>
  <cellXfs count="20">
    <xf numFmtId="0" fontId="0" fillId="0" borderId="0" pivotButton="0" quotePrefix="0" xfId="0"/>
    <xf numFmtId="0" fontId="3" fillId="3" borderId="1" applyAlignment="1" pivotButton="0" quotePrefix="0" xfId="0">
      <alignment horizontal="center" vertical="center" wrapText="1"/>
    </xf>
    <xf numFmtId="0" fontId="0" fillId="2" borderId="0" pivotButton="0" quotePrefix="0" xfId="0"/>
    <xf numFmtId="0" fontId="1" fillId="2" borderId="0" pivotButton="0" quotePrefix="0" xfId="0"/>
    <xf numFmtId="0" fontId="2" fillId="2" borderId="0" pivotButton="0" quotePrefix="0" xfId="0"/>
    <xf numFmtId="0" fontId="3" fillId="3" borderId="1" applyAlignment="1" pivotButton="0" quotePrefix="0" xfId="0">
      <alignment horizontal="center" vertical="center" wrapText="1"/>
    </xf>
    <xf numFmtId="0" fontId="3" fillId="3" borderId="2" applyAlignment="1" pivotButton="0" quotePrefix="0" xfId="0">
      <alignment horizontal="center" vertical="center" wrapText="1"/>
    </xf>
    <xf numFmtId="0" fontId="3" fillId="3" borderId="3" applyAlignment="1" pivotButton="0" quotePrefix="0" xfId="0">
      <alignment horizontal="center" vertical="center" wrapText="1"/>
    </xf>
    <xf numFmtId="0" fontId="0" fillId="2" borderId="1" applyAlignment="1" pivotButton="0" quotePrefix="0" xfId="0">
      <alignment horizontal="left" vertical="top" wrapText="1"/>
    </xf>
    <xf numFmtId="0" fontId="0" fillId="2" borderId="1" applyAlignment="1" pivotButton="0" quotePrefix="0" xfId="0">
      <alignment horizontal="right" vertical="top" wrapText="1"/>
    </xf>
    <xf numFmtId="0" fontId="0" fillId="4" borderId="1" applyAlignment="1" pivotButton="0" quotePrefix="0" xfId="0">
      <alignment horizontal="right" vertical="top" wrapText="1"/>
    </xf>
    <xf numFmtId="0" fontId="0" fillId="5" borderId="1" applyAlignment="1" pivotButton="0" quotePrefix="0" xfId="0">
      <alignment horizontal="right" vertical="top" wrapText="1"/>
    </xf>
    <xf numFmtId="0" fontId="3" fillId="3" borderId="1" pivotButton="0" quotePrefix="0" xfId="0"/>
    <xf numFmtId="0" fontId="0" fillId="0" borderId="6" pivotButton="0" quotePrefix="0" xfId="0"/>
    <xf numFmtId="0" fontId="0" fillId="2" borderId="1" applyAlignment="1" pivotButton="0" quotePrefix="0" xfId="0">
      <alignment vertical="center" wrapText="1"/>
    </xf>
    <xf numFmtId="0" fontId="4" fillId="0" borderId="0" pivotButton="0" quotePrefix="0" xfId="0"/>
    <xf numFmtId="0" fontId="4" fillId="2" borderId="1" applyAlignment="1" pivotButton="0" quotePrefix="0" xfId="0">
      <alignment horizontal="left" vertical="top" wrapText="1"/>
    </xf>
    <xf numFmtId="0" fontId="4" fillId="2" borderId="1" applyAlignment="1" pivotButton="0" quotePrefix="0" xfId="0">
      <alignment horizontal="right" vertical="top" wrapText="1"/>
    </xf>
    <xf numFmtId="0" fontId="4" fillId="4" borderId="1" applyAlignment="1" pivotButton="0" quotePrefix="0" xfId="0">
      <alignment horizontal="right" vertical="top" wrapText="1"/>
    </xf>
    <xf numFmtId="0" fontId="4" fillId="5" borderId="1" applyAlignment="1" pivotButton="0" quotePrefix="0" xfId="0">
      <alignment horizontal="righ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8"/>
  <sheetViews>
    <sheetView tabSelected="1" view="pageBreakPreview" zoomScale="48" zoomScaleNormal="100" zoomScaleSheetLayoutView="48" workbookViewId="0">
      <pane xSplit="6" ySplit="5" topLeftCell="G7" activePane="bottomRight" state="frozen"/>
      <selection pane="topRight" activeCell="G1" sqref="G1"/>
      <selection pane="bottomLeft" activeCell="A6" sqref="A6"/>
      <selection pane="bottomRight" activeCell="G22" sqref="G22"/>
    </sheetView>
  </sheetViews>
  <sheetFormatPr baseColWidth="10" defaultColWidth="11.453125" defaultRowHeight="14.5"/>
  <cols>
    <col width="1.453125" customWidth="1" style="2" min="1" max="1"/>
    <col width="16.453125" customWidth="1" style="2" min="2" max="2"/>
    <col width="30" customWidth="1" style="2" min="3" max="3"/>
    <col width="48" customWidth="1" style="2" min="4" max="4"/>
    <col width="10.453125" customWidth="1" style="2" min="5" max="5"/>
    <col width="11.81640625" customWidth="1" style="2" min="6" max="6"/>
    <col width="15.453125" customWidth="1" style="2" min="7" max="7"/>
    <col width="5.81640625" customWidth="1" style="2" min="8" max="8"/>
    <col width="5.453125" customWidth="1" style="2" min="9" max="9"/>
    <col width="2.7265625" customWidth="1" style="2" min="10" max="10"/>
    <col width="5.81640625" customWidth="1" style="2" min="11" max="11"/>
    <col width="5.453125" customWidth="1" style="2" min="12" max="12"/>
    <col width="2.7265625" customWidth="1" style="2" min="13" max="13"/>
    <col width="5.81640625" customWidth="1" style="2" min="14" max="14"/>
    <col width="5.453125" customWidth="1" style="2" min="15" max="15"/>
    <col width="2.7265625" customWidth="1" style="2" min="16" max="16"/>
    <col width="5.81640625" customWidth="1" style="2" min="17" max="17"/>
    <col width="5.453125" customWidth="1" style="2" min="18" max="18"/>
    <col width="2.7265625" customWidth="1" style="2" min="19" max="19"/>
    <col width="5.81640625" customWidth="1" style="2" min="20" max="20"/>
    <col width="5.453125" customWidth="1" style="2" min="21" max="21"/>
    <col width="2.7265625" customWidth="1" style="2" min="22" max="22"/>
    <col width="5.81640625" customWidth="1" style="2" min="23" max="23"/>
    <col width="5.453125" customWidth="1" style="2" min="24" max="24"/>
    <col width="2.7265625" customWidth="1" style="2" min="25" max="25"/>
    <col width="5.81640625" customWidth="1" style="2" min="26" max="26"/>
    <col width="5.453125" customWidth="1" style="2" min="27" max="27"/>
    <col width="2.7265625" customWidth="1" style="2" min="28" max="28"/>
    <col width="5.81640625" customWidth="1" style="2" min="29" max="29"/>
    <col width="5.453125" customWidth="1" style="2" min="30" max="30"/>
    <col width="2.7265625" customWidth="1" style="2" min="31" max="31"/>
    <col width="5.81640625" customWidth="1" style="2" min="32" max="32"/>
    <col width="5.453125" customWidth="1" style="2" min="33" max="33"/>
    <col width="2.7265625" customWidth="1" style="2" min="34" max="34"/>
    <col width="5.81640625" customWidth="1" style="2" min="35" max="35"/>
    <col width="5.453125" customWidth="1" style="2" min="36" max="36"/>
    <col width="2.7265625" customWidth="1" style="2" min="37" max="37"/>
    <col width="5.81640625" customWidth="1" style="2" min="38" max="38"/>
    <col width="5.453125" customWidth="1" style="2" min="39" max="39"/>
    <col width="2.7265625" customWidth="1" style="2" min="40" max="40"/>
    <col width="5.81640625" customWidth="1" style="2" min="41" max="41"/>
    <col width="5.453125" customWidth="1" style="2" min="42" max="42"/>
    <col width="2.7265625" customWidth="1" style="2" min="43" max="43"/>
    <col width="5.81640625" customWidth="1" style="2" min="44" max="44"/>
    <col width="5.453125" customWidth="1" style="2" min="45" max="45"/>
    <col width="2.7265625" customWidth="1" style="2" min="46" max="46"/>
    <col width="5.81640625" customWidth="1" style="2" min="47" max="47"/>
    <col width="5.453125" customWidth="1" style="2" min="48" max="48"/>
    <col width="2.7265625" customWidth="1" style="2" min="49" max="49"/>
    <col width="5.81640625" customWidth="1" style="2" min="50" max="50"/>
    <col width="5.453125" customWidth="1" style="2" min="51" max="51"/>
    <col width="2.7265625" customWidth="1" style="2" min="52" max="52"/>
    <col width="5.81640625" customWidth="1" style="2" min="53" max="53"/>
    <col width="5.453125" customWidth="1" style="2" min="54" max="54"/>
    <col width="2.7265625" customWidth="1" style="2" min="55" max="55"/>
    <col width="5.81640625" customWidth="1" style="2" min="56" max="56"/>
    <col width="5.453125" customWidth="1" style="2" min="57" max="57"/>
    <col width="2.7265625" customWidth="1" style="2" min="58" max="58"/>
    <col width="5.81640625" customWidth="1" style="2" min="59" max="59"/>
    <col width="5.453125" customWidth="1" style="2" min="60" max="60"/>
    <col width="2.7265625" customWidth="1" style="2" min="61" max="61"/>
    <col width="5.81640625" customWidth="1" style="2" min="62" max="62"/>
    <col width="5.453125" customWidth="1" style="2" min="63" max="63"/>
    <col width="2.7265625" customWidth="1" style="2" min="64" max="64"/>
    <col width="5.81640625" customWidth="1" style="2" min="65" max="65"/>
    <col width="5.453125" customWidth="1" style="2" min="66" max="66"/>
    <col width="2.7265625" customWidth="1" style="2" min="67" max="67"/>
    <col width="5.81640625" customWidth="1" style="2" min="68" max="68"/>
    <col width="5.453125" customWidth="1" style="2" min="69" max="69"/>
    <col width="11.453125" customWidth="1" style="2" min="70" max="16384"/>
  </cols>
  <sheetData>
    <row r="1" ht="28.5" customHeight="1">
      <c r="B1" s="3" t="inlineStr">
        <is>
          <t>SITRAFO — Lista de tareas de la iteración: Sprint 1</t>
        </is>
      </c>
    </row>
    <row r="2" ht="28.5" customHeight="1">
      <c r="B2" s="3" t="inlineStr">
        <is>
          <t>(Sprint Backlog) Iteración de desarrollo, 14 al 26 de septiembre de 2026 · reconstruido desde el historial de GitHub: las horas se registran el día en que se integraron al repositorio</t>
        </is>
      </c>
    </row>
    <row r="3" ht="21" customHeight="1">
      <c r="B3" s="4" t="inlineStr">
        <is>
          <t>Elaborado por: pmoinformatica.com</t>
        </is>
      </c>
    </row>
    <row r="4" ht="30" customHeight="1">
      <c r="H4" s="5" t="inlineStr">
        <is>
          <t>Día 1
14-sep</t>
        </is>
      </c>
      <c r="I4" s="13" t="n"/>
      <c r="J4" s="6" t="n"/>
      <c r="K4" s="5" t="inlineStr">
        <is>
          <t>Día 2
15-sep</t>
        </is>
      </c>
      <c r="L4" s="13" t="n"/>
      <c r="M4" s="6" t="n"/>
      <c r="N4" s="5" t="inlineStr">
        <is>
          <t>Día 3
16-sep</t>
        </is>
      </c>
      <c r="O4" s="13" t="n"/>
      <c r="P4" s="6" t="n"/>
      <c r="Q4" s="5" t="inlineStr">
        <is>
          <t>Día 4
17-sep</t>
        </is>
      </c>
      <c r="R4" s="13" t="n"/>
      <c r="S4" s="6" t="n"/>
      <c r="T4" s="5" t="inlineStr">
        <is>
          <t>Día 5
21-sep</t>
        </is>
      </c>
      <c r="U4" s="13" t="n"/>
      <c r="V4" s="6" t="n"/>
      <c r="W4" s="5" t="inlineStr">
        <is>
          <t>Día 6
22-sep</t>
        </is>
      </c>
      <c r="X4" s="13" t="n"/>
      <c r="Y4" s="6" t="n"/>
      <c r="Z4" s="5" t="inlineStr">
        <is>
          <t>Día 7
23-sep</t>
        </is>
      </c>
      <c r="AA4" s="13" t="n"/>
      <c r="AB4" s="6" t="n"/>
      <c r="AC4" s="5" t="inlineStr">
        <is>
          <t>Día 8
24-sep</t>
        </is>
      </c>
      <c r="AD4" s="13" t="n"/>
      <c r="AE4" s="6" t="n"/>
      <c r="AF4" s="5" t="inlineStr">
        <is>
          <t>Día 9
25-sep</t>
        </is>
      </c>
      <c r="AG4" s="13" t="n"/>
      <c r="AH4" s="6" t="n"/>
      <c r="AI4" s="5" t="inlineStr">
        <is>
          <t>Día 10
26-sep</t>
        </is>
      </c>
      <c r="AJ4" s="13" t="n"/>
      <c r="AK4" s="6" t="n"/>
      <c r="AL4" s="5" t="inlineStr">
        <is>
          <t>Día 11</t>
        </is>
      </c>
      <c r="AM4" s="13" t="n"/>
      <c r="AN4" s="6" t="n"/>
      <c r="AO4" s="5" t="inlineStr">
        <is>
          <t>Día 12</t>
        </is>
      </c>
      <c r="AP4" s="13" t="n"/>
      <c r="AQ4" s="6" t="n"/>
      <c r="AR4" s="5" t="inlineStr">
        <is>
          <t>Día 13</t>
        </is>
      </c>
      <c r="AS4" s="13" t="n"/>
      <c r="AT4" s="6" t="n"/>
      <c r="AU4" s="5" t="inlineStr">
        <is>
          <t>Día 14</t>
        </is>
      </c>
      <c r="AV4" s="13" t="n"/>
      <c r="AW4" s="6" t="n"/>
      <c r="AX4" s="5" t="inlineStr">
        <is>
          <t>Día 15</t>
        </is>
      </c>
      <c r="AY4" s="13" t="n"/>
      <c r="AZ4" s="6" t="n"/>
      <c r="BA4" s="5" t="inlineStr">
        <is>
          <t>Día 16</t>
        </is>
      </c>
      <c r="BB4" s="13" t="n"/>
      <c r="BC4" s="6" t="n"/>
      <c r="BD4" s="5" t="inlineStr">
        <is>
          <t>Día 17</t>
        </is>
      </c>
      <c r="BE4" s="13" t="n"/>
      <c r="BF4" s="6" t="n"/>
      <c r="BG4" s="5" t="inlineStr">
        <is>
          <t>Día 18</t>
        </is>
      </c>
      <c r="BH4" s="13" t="n"/>
      <c r="BI4" s="6" t="n"/>
      <c r="BJ4" s="5" t="inlineStr">
        <is>
          <t>Día 19</t>
        </is>
      </c>
      <c r="BK4" s="13" t="n"/>
      <c r="BL4" s="6" t="n"/>
      <c r="BM4" s="5" t="inlineStr">
        <is>
          <t>Día 20</t>
        </is>
      </c>
      <c r="BN4" s="13" t="n"/>
      <c r="BO4" s="6" t="n"/>
      <c r="BP4" s="5" t="inlineStr">
        <is>
          <t>Total</t>
        </is>
      </c>
      <c r="BQ4" s="13" t="n"/>
    </row>
    <row r="5" ht="45" customHeight="1">
      <c r="B5" s="5" t="inlineStr">
        <is>
          <t>Identificador (ID) de item de product backlog</t>
        </is>
      </c>
      <c r="C5" s="5" t="inlineStr">
        <is>
          <t>Enunciado del item de Product Backlog</t>
        </is>
      </c>
      <c r="D5" s="5" t="inlineStr">
        <is>
          <t>Tarea</t>
        </is>
      </c>
      <c r="E5" s="5" t="inlineStr">
        <is>
          <t>Dueño / Voluntario</t>
        </is>
      </c>
      <c r="F5" s="5" t="inlineStr">
        <is>
          <t>Estatus</t>
        </is>
      </c>
      <c r="G5" s="5" t="inlineStr">
        <is>
          <t>Horas estimadas totales</t>
        </is>
      </c>
      <c r="H5" s="7" t="inlineStr">
        <is>
          <t>Cons.</t>
        </is>
      </c>
      <c r="I5" s="7" t="inlineStr">
        <is>
          <t>Rest.</t>
        </is>
      </c>
      <c r="J5" s="7" t="n"/>
      <c r="K5" s="7" t="inlineStr">
        <is>
          <t>Cons.</t>
        </is>
      </c>
      <c r="L5" s="7" t="inlineStr">
        <is>
          <t>Rest.</t>
        </is>
      </c>
      <c r="M5" s="7" t="n"/>
      <c r="N5" s="7" t="inlineStr">
        <is>
          <t>Cons.</t>
        </is>
      </c>
      <c r="O5" s="7" t="inlineStr">
        <is>
          <t>Rest.</t>
        </is>
      </c>
      <c r="P5" s="7" t="n"/>
      <c r="Q5" s="7" t="inlineStr">
        <is>
          <t>Cons.</t>
        </is>
      </c>
      <c r="R5" s="7" t="inlineStr">
        <is>
          <t>Rest.</t>
        </is>
      </c>
      <c r="S5" s="7" t="n"/>
      <c r="T5" s="7" t="inlineStr">
        <is>
          <t>Cons.</t>
        </is>
      </c>
      <c r="U5" s="7" t="inlineStr">
        <is>
          <t>Rest.</t>
        </is>
      </c>
      <c r="V5" s="7" t="n"/>
      <c r="W5" s="7" t="inlineStr">
        <is>
          <t>Cons.</t>
        </is>
      </c>
      <c r="X5" s="7" t="inlineStr">
        <is>
          <t>Rest.</t>
        </is>
      </c>
      <c r="Y5" s="7" t="n"/>
      <c r="Z5" s="7" t="inlineStr">
        <is>
          <t>Cons.</t>
        </is>
      </c>
      <c r="AA5" s="7" t="inlineStr">
        <is>
          <t>Rest.</t>
        </is>
      </c>
      <c r="AB5" s="7" t="n"/>
      <c r="AC5" s="7" t="inlineStr">
        <is>
          <t>Cons.</t>
        </is>
      </c>
      <c r="AD5" s="7" t="inlineStr">
        <is>
          <t>Rest.</t>
        </is>
      </c>
      <c r="AE5" s="7" t="n"/>
      <c r="AF5" s="7" t="inlineStr">
        <is>
          <t>Cons.</t>
        </is>
      </c>
      <c r="AG5" s="7" t="inlineStr">
        <is>
          <t>Rest.</t>
        </is>
      </c>
      <c r="AH5" s="7" t="n"/>
      <c r="AI5" s="7" t="inlineStr">
        <is>
          <t>Cons.</t>
        </is>
      </c>
      <c r="AJ5" s="7" t="inlineStr">
        <is>
          <t>Rest.</t>
        </is>
      </c>
      <c r="AK5" s="7" t="n"/>
      <c r="AL5" s="7" t="inlineStr">
        <is>
          <t>Cons.</t>
        </is>
      </c>
      <c r="AM5" s="7" t="inlineStr">
        <is>
          <t>Rest.</t>
        </is>
      </c>
      <c r="AN5" s="7" t="n"/>
      <c r="AO5" s="7" t="inlineStr">
        <is>
          <t>Cons.</t>
        </is>
      </c>
      <c r="AP5" s="7" t="inlineStr">
        <is>
          <t>Rest.</t>
        </is>
      </c>
      <c r="AQ5" s="7" t="n"/>
      <c r="AR5" s="7" t="inlineStr">
        <is>
          <t>Cons.</t>
        </is>
      </c>
      <c r="AS5" s="7" t="inlineStr">
        <is>
          <t>Rest.</t>
        </is>
      </c>
      <c r="AT5" s="7" t="n"/>
      <c r="AU5" s="7" t="inlineStr">
        <is>
          <t>Cons.</t>
        </is>
      </c>
      <c r="AV5" s="7" t="inlineStr">
        <is>
          <t>Rest.</t>
        </is>
      </c>
      <c r="AW5" s="7" t="n"/>
      <c r="AX5" s="7" t="inlineStr">
        <is>
          <t>Cons.</t>
        </is>
      </c>
      <c r="AY5" s="7" t="inlineStr">
        <is>
          <t>Rest.</t>
        </is>
      </c>
      <c r="AZ5" s="7" t="n"/>
      <c r="BA5" s="7" t="inlineStr">
        <is>
          <t>Cons.</t>
        </is>
      </c>
      <c r="BB5" s="7" t="inlineStr">
        <is>
          <t>Rest.</t>
        </is>
      </c>
      <c r="BC5" s="7" t="n"/>
      <c r="BD5" s="7" t="inlineStr">
        <is>
          <t>Cons.</t>
        </is>
      </c>
      <c r="BE5" s="7" t="inlineStr">
        <is>
          <t>Rest.</t>
        </is>
      </c>
      <c r="BF5" s="7" t="n"/>
      <c r="BG5" s="7" t="inlineStr">
        <is>
          <t>Cons.</t>
        </is>
      </c>
      <c r="BH5" s="7" t="inlineStr">
        <is>
          <t>Rest.</t>
        </is>
      </c>
      <c r="BI5" s="7" t="n"/>
      <c r="BJ5" s="7" t="inlineStr">
        <is>
          <t>Cons.</t>
        </is>
      </c>
      <c r="BK5" s="7" t="inlineStr">
        <is>
          <t>Rest.</t>
        </is>
      </c>
      <c r="BL5" s="7" t="n"/>
      <c r="BM5" s="7" t="inlineStr">
        <is>
          <t>Cons.</t>
        </is>
      </c>
      <c r="BN5" s="7" t="inlineStr">
        <is>
          <t>Rest.</t>
        </is>
      </c>
      <c r="BO5" s="7" t="n"/>
      <c r="BP5" s="7" t="inlineStr">
        <is>
          <t>Cons.</t>
        </is>
      </c>
      <c r="BQ5" s="7" t="inlineStr">
        <is>
          <t>Rest.</t>
        </is>
      </c>
    </row>
    <row r="6" ht="30" customHeight="1">
      <c r="B6" s="8" t="inlineStr">
        <is>
          <t>E1-H1 (HU-01)</t>
        </is>
      </c>
      <c r="C6" s="14" t="inlineStr">
        <is>
          <t>Catálogo de productos</t>
        </is>
      </c>
      <c r="D6" s="14" t="inlineStr">
        <is>
          <t>Modelar tabla de productos y especificaciones técnicas</t>
        </is>
      </c>
      <c r="E6" s="8" t="inlineStr">
        <is>
          <t>Benjamín</t>
        </is>
      </c>
      <c r="F6" s="8" t="inlineStr">
        <is>
          <t>Hecho</t>
        </is>
      </c>
      <c r="G6" s="8" t="n">
        <v>4</v>
      </c>
      <c r="H6" s="9" t="n">
        <v>0</v>
      </c>
      <c r="I6" s="9">
        <f>G6-H6</f>
        <v/>
      </c>
      <c r="J6" s="10" t="n"/>
      <c r="K6" s="9" t="n">
        <v>0</v>
      </c>
      <c r="L6" s="9">
        <f>I6-K6</f>
        <v/>
      </c>
      <c r="M6" s="10" t="n"/>
      <c r="N6" s="9" t="n">
        <v>0</v>
      </c>
      <c r="O6" s="9">
        <f>L6-N6</f>
        <v/>
      </c>
      <c r="P6" s="10" t="n"/>
      <c r="Q6" s="9" t="n">
        <v>0</v>
      </c>
      <c r="R6" s="9">
        <f>O6-Q6</f>
        <v/>
      </c>
      <c r="S6" s="10" t="n"/>
      <c r="T6" s="9" t="n">
        <v>0</v>
      </c>
      <c r="U6" s="9">
        <f>R6-T6</f>
        <v/>
      </c>
      <c r="V6" s="10" t="n"/>
      <c r="W6" s="9" t="n">
        <v>0</v>
      </c>
      <c r="X6" s="9">
        <f>U6-W6</f>
        <v/>
      </c>
      <c r="Y6" s="10" t="n"/>
      <c r="Z6" s="9" t="n">
        <v>0</v>
      </c>
      <c r="AA6" s="9">
        <f>X6-Z6</f>
        <v/>
      </c>
      <c r="AB6" s="10" t="n"/>
      <c r="AC6" s="9" t="n">
        <v>0</v>
      </c>
      <c r="AD6" s="9">
        <f>AA6-AC6</f>
        <v/>
      </c>
      <c r="AE6" s="10" t="n"/>
      <c r="AF6" s="9" t="n">
        <v>4</v>
      </c>
      <c r="AG6" s="9">
        <f>AD6-AF6</f>
        <v/>
      </c>
      <c r="AH6" s="10" t="n"/>
      <c r="AI6" s="9" t="n">
        <v>0</v>
      </c>
      <c r="AJ6" s="9">
        <f>AG6-AI6</f>
        <v/>
      </c>
      <c r="AK6" s="10" t="n"/>
      <c r="AL6" s="9" t="n"/>
      <c r="AM6" s="9">
        <f>AJ6-AL6</f>
        <v/>
      </c>
      <c r="AN6" s="10" t="n"/>
      <c r="AO6" s="9" t="n"/>
      <c r="AP6" s="9">
        <f>AM6-AO6</f>
        <v/>
      </c>
      <c r="AQ6" s="10" t="n"/>
      <c r="AR6" s="9" t="n"/>
      <c r="AS6" s="9">
        <f>AP6-AR6</f>
        <v/>
      </c>
      <c r="AT6" s="10" t="n"/>
      <c r="AU6" s="9" t="n"/>
      <c r="AV6" s="9">
        <f>AS6-AU6</f>
        <v/>
      </c>
      <c r="AW6" s="10" t="n"/>
      <c r="AX6" s="9" t="n"/>
      <c r="AY6" s="9">
        <f>AV6-AX6</f>
        <v/>
      </c>
      <c r="AZ6" s="10" t="n"/>
      <c r="BA6" s="9" t="n"/>
      <c r="BB6" s="9">
        <f>AY6-BA6</f>
        <v/>
      </c>
      <c r="BC6" s="10" t="n"/>
      <c r="BD6" s="9" t="n"/>
      <c r="BE6" s="9">
        <f>BB6-BD6</f>
        <v/>
      </c>
      <c r="BF6" s="10" t="n"/>
      <c r="BG6" s="9" t="n"/>
      <c r="BH6" s="9">
        <f>BE6-BG6</f>
        <v/>
      </c>
      <c r="BI6" s="10" t="n"/>
      <c r="BJ6" s="9" t="n"/>
      <c r="BK6" s="9">
        <f>BH6-BJ6</f>
        <v/>
      </c>
      <c r="BL6" s="10" t="n"/>
      <c r="BM6" s="9" t="n"/>
      <c r="BN6" s="9">
        <f>BK6-BM6</f>
        <v/>
      </c>
      <c r="BO6" s="10" t="n"/>
      <c r="BP6" s="11">
        <f>H6+K6+N6+Q6+T6+W6+Z6+AC6+AF6+AI6+AL6+AO6+AR6+AU6+AX6+BA6+BD6+BG6+BJ6+BM6</f>
        <v/>
      </c>
      <c r="BQ6" s="11">
        <f>G6-BP6</f>
        <v/>
      </c>
    </row>
    <row r="7" ht="30" customHeight="1">
      <c r="B7" s="8" t="inlineStr">
        <is>
          <t>E1-H1 (HU-01)</t>
        </is>
      </c>
      <c r="C7" s="14" t="inlineStr">
        <is>
          <t>Catálogo de productos</t>
        </is>
      </c>
      <c r="D7" s="14" t="inlineStr">
        <is>
          <t>Endpoint API REST de catálogo</t>
        </is>
      </c>
      <c r="E7" s="8" t="inlineStr">
        <is>
          <t>Benjamín</t>
        </is>
      </c>
      <c r="F7" s="8" t="inlineStr">
        <is>
          <t>Hecho</t>
        </is>
      </c>
      <c r="G7" s="8" t="n">
        <v>5</v>
      </c>
      <c r="H7" s="9" t="n">
        <v>0</v>
      </c>
      <c r="I7" s="9">
        <f>G7-H7</f>
        <v/>
      </c>
      <c r="J7" s="10" t="n"/>
      <c r="K7" s="9" t="n">
        <v>0</v>
      </c>
      <c r="L7" s="9">
        <f>I7-K7</f>
        <v/>
      </c>
      <c r="M7" s="10" t="n"/>
      <c r="N7" s="9" t="n">
        <v>0</v>
      </c>
      <c r="O7" s="9">
        <f>L7-N7</f>
        <v/>
      </c>
      <c r="P7" s="10" t="n"/>
      <c r="Q7" s="9" t="n">
        <v>0</v>
      </c>
      <c r="R7" s="9">
        <f>O7-Q7</f>
        <v/>
      </c>
      <c r="S7" s="10" t="n"/>
      <c r="T7" s="9" t="n">
        <v>0</v>
      </c>
      <c r="U7" s="9">
        <f>R7-T7</f>
        <v/>
      </c>
      <c r="V7" s="10" t="n"/>
      <c r="W7" s="9" t="n">
        <v>0</v>
      </c>
      <c r="X7" s="9">
        <f>U7-W7</f>
        <v/>
      </c>
      <c r="Y7" s="10" t="n"/>
      <c r="Z7" s="9" t="n">
        <v>0</v>
      </c>
      <c r="AA7" s="9">
        <f>X7-Z7</f>
        <v/>
      </c>
      <c r="AB7" s="10" t="n"/>
      <c r="AC7" s="9" t="n">
        <v>0</v>
      </c>
      <c r="AD7" s="9">
        <f>AA7-AC7</f>
        <v/>
      </c>
      <c r="AE7" s="10" t="n"/>
      <c r="AF7" s="9" t="n">
        <v>5</v>
      </c>
      <c r="AG7" s="9">
        <f>AD7-AF7</f>
        <v/>
      </c>
      <c r="AH7" s="10" t="n"/>
      <c r="AI7" s="9" t="n">
        <v>0</v>
      </c>
      <c r="AJ7" s="9">
        <f>AG7-AI7</f>
        <v/>
      </c>
      <c r="AK7" s="10" t="n"/>
      <c r="AL7" s="9" t="n"/>
      <c r="AM7" s="9">
        <f>AJ7-AL7</f>
        <v/>
      </c>
      <c r="AN7" s="10" t="n"/>
      <c r="AO7" s="9" t="n"/>
      <c r="AP7" s="9">
        <f>AM7-AO7</f>
        <v/>
      </c>
      <c r="AQ7" s="10" t="n"/>
      <c r="AR7" s="9" t="n"/>
      <c r="AS7" s="9">
        <f>AP7-AR7</f>
        <v/>
      </c>
      <c r="AT7" s="10" t="n"/>
      <c r="AU7" s="9" t="n"/>
      <c r="AV7" s="9">
        <f>AS7-AU7</f>
        <v/>
      </c>
      <c r="AW7" s="10" t="n"/>
      <c r="AX7" s="9" t="n"/>
      <c r="AY7" s="9">
        <f>AV7-AX7</f>
        <v/>
      </c>
      <c r="AZ7" s="10" t="n"/>
      <c r="BA7" s="9" t="n"/>
      <c r="BB7" s="9">
        <f>AY7-BA7</f>
        <v/>
      </c>
      <c r="BC7" s="10" t="n"/>
      <c r="BD7" s="9" t="n"/>
      <c r="BE7" s="9">
        <f>BB7-BD7</f>
        <v/>
      </c>
      <c r="BF7" s="10" t="n"/>
      <c r="BG7" s="9" t="n"/>
      <c r="BH7" s="9">
        <f>BE7-BG7</f>
        <v/>
      </c>
      <c r="BI7" s="10" t="n"/>
      <c r="BJ7" s="9" t="n"/>
      <c r="BK7" s="9">
        <f>BH7-BJ7</f>
        <v/>
      </c>
      <c r="BL7" s="10" t="n"/>
      <c r="BM7" s="9" t="n"/>
      <c r="BN7" s="9">
        <f>BK7-BM7</f>
        <v/>
      </c>
      <c r="BO7" s="10" t="n"/>
      <c r="BP7" s="11">
        <f>H7+K7+N7+Q7+T7+W7+Z7+AC7+AF7+AI7+AL7+AO7+AR7+AU7+AX7+BA7+BD7+BG7+BJ7+BM7</f>
        <v/>
      </c>
      <c r="BQ7" s="11">
        <f>G7-BP7</f>
        <v/>
      </c>
    </row>
    <row r="8" ht="30" customHeight="1">
      <c r="B8" s="8" t="inlineStr">
        <is>
          <t>E1-H1 (HU-01)</t>
        </is>
      </c>
      <c r="C8" s="14" t="inlineStr">
        <is>
          <t>Catálogo de productos</t>
        </is>
      </c>
      <c r="D8" s="14" t="inlineStr">
        <is>
          <t>Vista web de catálogo con filtros</t>
        </is>
      </c>
      <c r="E8" s="8" t="inlineStr">
        <is>
          <t>Benjamín</t>
        </is>
      </c>
      <c r="F8" s="8" t="inlineStr">
        <is>
          <t>Hecho</t>
        </is>
      </c>
      <c r="G8" s="8" t="n">
        <v>6</v>
      </c>
      <c r="H8" s="9" t="n">
        <v>0</v>
      </c>
      <c r="I8" s="9">
        <f>G8-H8</f>
        <v/>
      </c>
      <c r="J8" s="10" t="n"/>
      <c r="K8" s="9" t="n">
        <v>0</v>
      </c>
      <c r="L8" s="9">
        <f>I8-K8</f>
        <v/>
      </c>
      <c r="M8" s="10" t="n"/>
      <c r="N8" s="9" t="n">
        <v>0</v>
      </c>
      <c r="O8" s="9">
        <f>L8-N8</f>
        <v/>
      </c>
      <c r="P8" s="10" t="n"/>
      <c r="Q8" s="9" t="n">
        <v>0</v>
      </c>
      <c r="R8" s="9">
        <f>O8-Q8</f>
        <v/>
      </c>
      <c r="S8" s="10" t="n"/>
      <c r="T8" s="9" t="n">
        <v>0</v>
      </c>
      <c r="U8" s="9">
        <f>R8-T8</f>
        <v/>
      </c>
      <c r="V8" s="10" t="n"/>
      <c r="W8" s="9" t="n">
        <v>0</v>
      </c>
      <c r="X8" s="9">
        <f>U8-W8</f>
        <v/>
      </c>
      <c r="Y8" s="10" t="n"/>
      <c r="Z8" s="9" t="n">
        <v>0</v>
      </c>
      <c r="AA8" s="9">
        <f>X8-Z8</f>
        <v/>
      </c>
      <c r="AB8" s="10" t="n"/>
      <c r="AC8" s="9" t="n">
        <v>0</v>
      </c>
      <c r="AD8" s="9">
        <f>AA8-AC8</f>
        <v/>
      </c>
      <c r="AE8" s="10" t="n"/>
      <c r="AF8" s="9" t="n">
        <v>6</v>
      </c>
      <c r="AG8" s="9">
        <f>AD8-AF8</f>
        <v/>
      </c>
      <c r="AH8" s="10" t="n"/>
      <c r="AI8" s="9" t="n">
        <v>0</v>
      </c>
      <c r="AJ8" s="9">
        <f>AG8-AI8</f>
        <v/>
      </c>
      <c r="AK8" s="10" t="n"/>
      <c r="AL8" s="9" t="n"/>
      <c r="AM8" s="9">
        <f>AJ8-AL8</f>
        <v/>
      </c>
      <c r="AN8" s="10" t="n"/>
      <c r="AO8" s="9" t="n"/>
      <c r="AP8" s="9">
        <f>AM8-AO8</f>
        <v/>
      </c>
      <c r="AQ8" s="10" t="n"/>
      <c r="AR8" s="9" t="n"/>
      <c r="AS8" s="9">
        <f>AP8-AR8</f>
        <v/>
      </c>
      <c r="AT8" s="10" t="n"/>
      <c r="AU8" s="9" t="n"/>
      <c r="AV8" s="9">
        <f>AS8-AU8</f>
        <v/>
      </c>
      <c r="AW8" s="10" t="n"/>
      <c r="AX8" s="9" t="n"/>
      <c r="AY8" s="9">
        <f>AV8-AX8</f>
        <v/>
      </c>
      <c r="AZ8" s="10" t="n"/>
      <c r="BA8" s="9" t="n"/>
      <c r="BB8" s="9">
        <f>AY8-BA8</f>
        <v/>
      </c>
      <c r="BC8" s="10" t="n"/>
      <c r="BD8" s="9" t="n"/>
      <c r="BE8" s="9">
        <f>BB8-BD8</f>
        <v/>
      </c>
      <c r="BF8" s="10" t="n"/>
      <c r="BG8" s="9" t="n"/>
      <c r="BH8" s="9">
        <f>BE8-BG8</f>
        <v/>
      </c>
      <c r="BI8" s="10" t="n"/>
      <c r="BJ8" s="9" t="n"/>
      <c r="BK8" s="9">
        <f>BH8-BJ8</f>
        <v/>
      </c>
      <c r="BL8" s="10" t="n"/>
      <c r="BM8" s="9" t="n"/>
      <c r="BN8" s="9">
        <f>BK8-BM8</f>
        <v/>
      </c>
      <c r="BO8" s="10" t="n"/>
      <c r="BP8" s="11">
        <f>H8+K8+N8+Q8+T8+W8+Z8+AC8+AF8+AI8+AL8+AO8+AR8+AU8+AX8+BA8+BD8+BG8+BJ8+BM8</f>
        <v/>
      </c>
      <c r="BQ8" s="11">
        <f>G8-BP8</f>
        <v/>
      </c>
    </row>
    <row r="9" ht="30" customHeight="1">
      <c r="B9" s="8" t="inlineStr">
        <is>
          <t>E1-H2 (HU-02)</t>
        </is>
      </c>
      <c r="C9" s="14" t="inlineStr">
        <is>
          <t>Registro de cliente</t>
        </is>
      </c>
      <c r="D9" s="14" t="inlineStr">
        <is>
          <t>Modelo de cliente y autenticación</t>
        </is>
      </c>
      <c r="E9" s="8" t="inlineStr">
        <is>
          <t>Benjamín</t>
        </is>
      </c>
      <c r="F9" s="8" t="inlineStr">
        <is>
          <t>Hecho</t>
        </is>
      </c>
      <c r="G9" s="8" t="n">
        <v>5</v>
      </c>
      <c r="H9" s="9" t="n">
        <v>0</v>
      </c>
      <c r="I9" s="9">
        <f>G9-H9</f>
        <v/>
      </c>
      <c r="J9" s="10" t="n"/>
      <c r="K9" s="9" t="n">
        <v>0</v>
      </c>
      <c r="L9" s="9">
        <f>I9-K9</f>
        <v/>
      </c>
      <c r="M9" s="10" t="n"/>
      <c r="N9" s="9" t="n">
        <v>0</v>
      </c>
      <c r="O9" s="9">
        <f>L9-N9</f>
        <v/>
      </c>
      <c r="P9" s="10" t="n"/>
      <c r="Q9" s="9" t="n">
        <v>0</v>
      </c>
      <c r="R9" s="9">
        <f>O9-Q9</f>
        <v/>
      </c>
      <c r="S9" s="10" t="n"/>
      <c r="T9" s="9" t="n">
        <v>0</v>
      </c>
      <c r="U9" s="9">
        <f>R9-T9</f>
        <v/>
      </c>
      <c r="V9" s="10" t="n"/>
      <c r="W9" s="9" t="n">
        <v>0</v>
      </c>
      <c r="X9" s="9">
        <f>U9-W9</f>
        <v/>
      </c>
      <c r="Y9" s="10" t="n"/>
      <c r="Z9" s="9" t="n">
        <v>0</v>
      </c>
      <c r="AA9" s="9">
        <f>X9-Z9</f>
        <v/>
      </c>
      <c r="AB9" s="10" t="n"/>
      <c r="AC9" s="9" t="n">
        <v>0</v>
      </c>
      <c r="AD9" s="9">
        <f>AA9-AC9</f>
        <v/>
      </c>
      <c r="AE9" s="10" t="n"/>
      <c r="AF9" s="9" t="n">
        <v>5</v>
      </c>
      <c r="AG9" s="9">
        <f>AD9-AF9</f>
        <v/>
      </c>
      <c r="AH9" s="10" t="n"/>
      <c r="AI9" s="9" t="n">
        <v>0</v>
      </c>
      <c r="AJ9" s="9">
        <f>AG9-AI9</f>
        <v/>
      </c>
      <c r="AK9" s="10" t="n"/>
      <c r="AL9" s="9" t="n"/>
      <c r="AM9" s="9">
        <f>AJ9-AL9</f>
        <v/>
      </c>
      <c r="AN9" s="10" t="n"/>
      <c r="AO9" s="9" t="n"/>
      <c r="AP9" s="9">
        <f>AM9-AO9</f>
        <v/>
      </c>
      <c r="AQ9" s="10" t="n"/>
      <c r="AR9" s="9" t="n"/>
      <c r="AS9" s="9">
        <f>AP9-AR9</f>
        <v/>
      </c>
      <c r="AT9" s="10" t="n"/>
      <c r="AU9" s="9" t="n"/>
      <c r="AV9" s="9">
        <f>AS9-AU9</f>
        <v/>
      </c>
      <c r="AW9" s="10" t="n"/>
      <c r="AX9" s="9" t="n"/>
      <c r="AY9" s="9">
        <f>AV9-AX9</f>
        <v/>
      </c>
      <c r="AZ9" s="10" t="n"/>
      <c r="BA9" s="9" t="n"/>
      <c r="BB9" s="9">
        <f>AY9-BA9</f>
        <v/>
      </c>
      <c r="BC9" s="10" t="n"/>
      <c r="BD9" s="9" t="n"/>
      <c r="BE9" s="9">
        <f>BB9-BD9</f>
        <v/>
      </c>
      <c r="BF9" s="10" t="n"/>
      <c r="BG9" s="9" t="n"/>
      <c r="BH9" s="9">
        <f>BE9-BG9</f>
        <v/>
      </c>
      <c r="BI9" s="10" t="n"/>
      <c r="BJ9" s="9" t="n"/>
      <c r="BK9" s="9">
        <f>BH9-BJ9</f>
        <v/>
      </c>
      <c r="BL9" s="10" t="n"/>
      <c r="BM9" s="9" t="n"/>
      <c r="BN9" s="9">
        <f>BK9-BM9</f>
        <v/>
      </c>
      <c r="BO9" s="10" t="n"/>
      <c r="BP9" s="11">
        <f>H9+K9+N9+Q9+T9+W9+Z9+AC9+AF9+AI9+AL9+AO9+AR9+AU9+AX9+BA9+BD9+BG9+BJ9+BM9</f>
        <v/>
      </c>
      <c r="BQ9" s="11">
        <f>G9-BP9</f>
        <v/>
      </c>
    </row>
    <row r="10" ht="30" customHeight="1">
      <c r="B10" s="8" t="inlineStr">
        <is>
          <t>E1-H2 (HU-02)</t>
        </is>
      </c>
      <c r="C10" s="14" t="inlineStr">
        <is>
          <t>Registro de cliente</t>
        </is>
      </c>
      <c r="D10" s="14" t="inlineStr">
        <is>
          <t>Formulario de registro web</t>
        </is>
      </c>
      <c r="E10" s="8" t="inlineStr">
        <is>
          <t>Benjamín</t>
        </is>
      </c>
      <c r="F10" s="8" t="inlineStr">
        <is>
          <t>Hecho</t>
        </is>
      </c>
      <c r="G10" s="8" t="n">
        <v>4</v>
      </c>
      <c r="H10" s="9" t="n">
        <v>0</v>
      </c>
      <c r="I10" s="9">
        <f>G10-H10</f>
        <v/>
      </c>
      <c r="J10" s="10" t="n"/>
      <c r="K10" s="9" t="n">
        <v>0</v>
      </c>
      <c r="L10" s="9">
        <f>I10-K10</f>
        <v/>
      </c>
      <c r="M10" s="10" t="n"/>
      <c r="N10" s="9" t="n">
        <v>0</v>
      </c>
      <c r="O10" s="9">
        <f>L10-N10</f>
        <v/>
      </c>
      <c r="P10" s="10" t="n"/>
      <c r="Q10" s="9" t="n">
        <v>0</v>
      </c>
      <c r="R10" s="9">
        <f>O10-Q10</f>
        <v/>
      </c>
      <c r="S10" s="10" t="n"/>
      <c r="T10" s="9" t="n">
        <v>0</v>
      </c>
      <c r="U10" s="9">
        <f>R10-T10</f>
        <v/>
      </c>
      <c r="V10" s="10" t="n"/>
      <c r="W10" s="9" t="n">
        <v>0</v>
      </c>
      <c r="X10" s="9">
        <f>U10-W10</f>
        <v/>
      </c>
      <c r="Y10" s="10" t="n"/>
      <c r="Z10" s="9" t="n">
        <v>0</v>
      </c>
      <c r="AA10" s="9">
        <f>X10-Z10</f>
        <v/>
      </c>
      <c r="AB10" s="10" t="n"/>
      <c r="AC10" s="9" t="n">
        <v>0</v>
      </c>
      <c r="AD10" s="9">
        <f>AA10-AC10</f>
        <v/>
      </c>
      <c r="AE10" s="10" t="n"/>
      <c r="AF10" s="9" t="n">
        <v>4</v>
      </c>
      <c r="AG10" s="9">
        <f>AD10-AF10</f>
        <v/>
      </c>
      <c r="AH10" s="10" t="n"/>
      <c r="AI10" s="9" t="n">
        <v>0</v>
      </c>
      <c r="AJ10" s="9">
        <f>AG10-AI10</f>
        <v/>
      </c>
      <c r="AK10" s="10" t="n"/>
      <c r="AL10" s="9" t="n"/>
      <c r="AM10" s="9">
        <f>AJ10-AL10</f>
        <v/>
      </c>
      <c r="AN10" s="10" t="n"/>
      <c r="AO10" s="9" t="n"/>
      <c r="AP10" s="9">
        <f>AM10-AO10</f>
        <v/>
      </c>
      <c r="AQ10" s="10" t="n"/>
      <c r="AR10" s="9" t="n"/>
      <c r="AS10" s="9">
        <f>AP10-AR10</f>
        <v/>
      </c>
      <c r="AT10" s="10" t="n"/>
      <c r="AU10" s="9" t="n"/>
      <c r="AV10" s="9">
        <f>AS10-AU10</f>
        <v/>
      </c>
      <c r="AW10" s="10" t="n"/>
      <c r="AX10" s="9" t="n"/>
      <c r="AY10" s="9">
        <f>AV10-AX10</f>
        <v/>
      </c>
      <c r="AZ10" s="10" t="n"/>
      <c r="BA10" s="9" t="n"/>
      <c r="BB10" s="9">
        <f>AY10-BA10</f>
        <v/>
      </c>
      <c r="BC10" s="10" t="n"/>
      <c r="BD10" s="9" t="n"/>
      <c r="BE10" s="9">
        <f>BB10-BD10</f>
        <v/>
      </c>
      <c r="BF10" s="10" t="n"/>
      <c r="BG10" s="9" t="n"/>
      <c r="BH10" s="9">
        <f>BE10-BG10</f>
        <v/>
      </c>
      <c r="BI10" s="10" t="n"/>
      <c r="BJ10" s="9" t="n"/>
      <c r="BK10" s="9">
        <f>BH10-BJ10</f>
        <v/>
      </c>
      <c r="BL10" s="10" t="n"/>
      <c r="BM10" s="9" t="n"/>
      <c r="BN10" s="9">
        <f>BK10-BM10</f>
        <v/>
      </c>
      <c r="BO10" s="10" t="n"/>
      <c r="BP10" s="11">
        <f>H10+K10+N10+Q10+T10+W10+Z10+AC10+AF10+AI10+AL10+AO10+AR10+AU10+AX10+BA10+BD10+BG10+BJ10+BM10</f>
        <v/>
      </c>
      <c r="BQ10" s="11">
        <f>G10-BP10</f>
        <v/>
      </c>
    </row>
    <row r="11" ht="30" customHeight="1">
      <c r="B11" s="8" t="inlineStr">
        <is>
          <t>E2-H1 (HU-03)</t>
        </is>
      </c>
      <c r="C11" s="14" t="inlineStr">
        <is>
          <t>Solicitud de presupuesto</t>
        </is>
      </c>
      <c r="D11" s="14" t="inlineStr">
        <is>
          <t>Modelo de solicitud de presupuesto</t>
        </is>
      </c>
      <c r="E11" s="8" t="inlineStr">
        <is>
          <t>Benjamín</t>
        </is>
      </c>
      <c r="F11" s="8" t="inlineStr">
        <is>
          <t>Hecho</t>
        </is>
      </c>
      <c r="G11" s="8" t="n">
        <v>4</v>
      </c>
      <c r="H11" s="9" t="n">
        <v>0</v>
      </c>
      <c r="I11" s="9">
        <f>G11-H11</f>
        <v/>
      </c>
      <c r="J11" s="10" t="n"/>
      <c r="K11" s="9" t="n">
        <v>0</v>
      </c>
      <c r="L11" s="9">
        <f>I11-K11</f>
        <v/>
      </c>
      <c r="M11" s="10" t="n"/>
      <c r="N11" s="9" t="n">
        <v>0</v>
      </c>
      <c r="O11" s="9">
        <f>L11-N11</f>
        <v/>
      </c>
      <c r="P11" s="10" t="n"/>
      <c r="Q11" s="9" t="n">
        <v>0</v>
      </c>
      <c r="R11" s="9">
        <f>O11-Q11</f>
        <v/>
      </c>
      <c r="S11" s="10" t="n"/>
      <c r="T11" s="9" t="n">
        <v>0</v>
      </c>
      <c r="U11" s="9">
        <f>R11-T11</f>
        <v/>
      </c>
      <c r="V11" s="10" t="n"/>
      <c r="W11" s="9" t="n">
        <v>0</v>
      </c>
      <c r="X11" s="9">
        <f>U11-W11</f>
        <v/>
      </c>
      <c r="Y11" s="10" t="n"/>
      <c r="Z11" s="9" t="n">
        <v>0</v>
      </c>
      <c r="AA11" s="9">
        <f>X11-Z11</f>
        <v/>
      </c>
      <c r="AB11" s="10" t="n"/>
      <c r="AC11" s="9" t="n">
        <v>0</v>
      </c>
      <c r="AD11" s="9">
        <f>AA11-AC11</f>
        <v/>
      </c>
      <c r="AE11" s="10" t="n"/>
      <c r="AF11" s="9" t="n">
        <v>4</v>
      </c>
      <c r="AG11" s="9">
        <f>AD11-AF11</f>
        <v/>
      </c>
      <c r="AH11" s="10" t="n"/>
      <c r="AI11" s="9" t="n">
        <v>0</v>
      </c>
      <c r="AJ11" s="9">
        <f>AG11-AI11</f>
        <v/>
      </c>
      <c r="AK11" s="10" t="n"/>
      <c r="AL11" s="9" t="n"/>
      <c r="AM11" s="9">
        <f>AJ11-AL11</f>
        <v/>
      </c>
      <c r="AN11" s="10" t="n"/>
      <c r="AO11" s="9" t="n"/>
      <c r="AP11" s="9">
        <f>AM11-AO11</f>
        <v/>
      </c>
      <c r="AQ11" s="10" t="n"/>
      <c r="AR11" s="9" t="n"/>
      <c r="AS11" s="9">
        <f>AP11-AR11</f>
        <v/>
      </c>
      <c r="AT11" s="10" t="n"/>
      <c r="AU11" s="9" t="n"/>
      <c r="AV11" s="9">
        <f>AS11-AU11</f>
        <v/>
      </c>
      <c r="AW11" s="10" t="n"/>
      <c r="AX11" s="9" t="n"/>
      <c r="AY11" s="9">
        <f>AV11-AX11</f>
        <v/>
      </c>
      <c r="AZ11" s="10" t="n"/>
      <c r="BA11" s="9" t="n"/>
      <c r="BB11" s="9">
        <f>AY11-BA11</f>
        <v/>
      </c>
      <c r="BC11" s="10" t="n"/>
      <c r="BD11" s="9" t="n"/>
      <c r="BE11" s="9">
        <f>BB11-BD11</f>
        <v/>
      </c>
      <c r="BF11" s="10" t="n"/>
      <c r="BG11" s="9" t="n"/>
      <c r="BH11" s="9">
        <f>BE11-BG11</f>
        <v/>
      </c>
      <c r="BI11" s="10" t="n"/>
      <c r="BJ11" s="9" t="n"/>
      <c r="BK11" s="9">
        <f>BH11-BJ11</f>
        <v/>
      </c>
      <c r="BL11" s="10" t="n"/>
      <c r="BM11" s="9" t="n"/>
      <c r="BN11" s="9">
        <f>BK11-BM11</f>
        <v/>
      </c>
      <c r="BO11" s="10" t="n"/>
      <c r="BP11" s="11">
        <f>H11+K11+N11+Q11+T11+W11+Z11+AC11+AF11+AI11+AL11+AO11+AR11+AU11+AX11+BA11+BD11+BG11+BJ11+BM11</f>
        <v/>
      </c>
      <c r="BQ11" s="11">
        <f>G11-BP11</f>
        <v/>
      </c>
    </row>
    <row r="12" ht="30" customHeight="1">
      <c r="B12" s="8" t="inlineStr">
        <is>
          <t>E2-H1 (HU-03)</t>
        </is>
      </c>
      <c r="C12" s="14" t="inlineStr">
        <is>
          <t>Solicitud de presupuesto</t>
        </is>
      </c>
      <c r="D12" s="14" t="inlineStr">
        <is>
          <t>Endpoint API para crear solicitud</t>
        </is>
      </c>
      <c r="E12" s="8" t="inlineStr">
        <is>
          <t>Benjamín</t>
        </is>
      </c>
      <c r="F12" s="8" t="inlineStr">
        <is>
          <t>Hecho</t>
        </is>
      </c>
      <c r="G12" s="8" t="n">
        <v>5</v>
      </c>
      <c r="H12" s="9" t="n">
        <v>0</v>
      </c>
      <c r="I12" s="9">
        <f>G12-H12</f>
        <v/>
      </c>
      <c r="J12" s="10" t="n"/>
      <c r="K12" s="9" t="n">
        <v>0</v>
      </c>
      <c r="L12" s="9">
        <f>I12-K12</f>
        <v/>
      </c>
      <c r="M12" s="10" t="n"/>
      <c r="N12" s="9" t="n">
        <v>0</v>
      </c>
      <c r="O12" s="9">
        <f>L12-N12</f>
        <v/>
      </c>
      <c r="P12" s="10" t="n"/>
      <c r="Q12" s="9" t="n">
        <v>0</v>
      </c>
      <c r="R12" s="9">
        <f>O12-Q12</f>
        <v/>
      </c>
      <c r="S12" s="10" t="n"/>
      <c r="T12" s="9" t="n">
        <v>0</v>
      </c>
      <c r="U12" s="9">
        <f>R12-T12</f>
        <v/>
      </c>
      <c r="V12" s="10" t="n"/>
      <c r="W12" s="9" t="n">
        <v>0</v>
      </c>
      <c r="X12" s="9">
        <f>U12-W12</f>
        <v/>
      </c>
      <c r="Y12" s="10" t="n"/>
      <c r="Z12" s="9" t="n">
        <v>0</v>
      </c>
      <c r="AA12" s="9">
        <f>X12-Z12</f>
        <v/>
      </c>
      <c r="AB12" s="10" t="n"/>
      <c r="AC12" s="9" t="n">
        <v>0</v>
      </c>
      <c r="AD12" s="9">
        <f>AA12-AC12</f>
        <v/>
      </c>
      <c r="AE12" s="10" t="n"/>
      <c r="AF12" s="9" t="n">
        <v>5</v>
      </c>
      <c r="AG12" s="9">
        <f>AD12-AF12</f>
        <v/>
      </c>
      <c r="AH12" s="10" t="n"/>
      <c r="AI12" s="9" t="n">
        <v>0</v>
      </c>
      <c r="AJ12" s="9">
        <f>AG12-AI12</f>
        <v/>
      </c>
      <c r="AK12" s="10" t="n"/>
      <c r="AL12" s="9" t="n"/>
      <c r="AM12" s="9">
        <f>AJ12-AL12</f>
        <v/>
      </c>
      <c r="AN12" s="10" t="n"/>
      <c r="AO12" s="9" t="n"/>
      <c r="AP12" s="9">
        <f>AM12-AO12</f>
        <v/>
      </c>
      <c r="AQ12" s="10" t="n"/>
      <c r="AR12" s="9" t="n"/>
      <c r="AS12" s="9">
        <f>AP12-AR12</f>
        <v/>
      </c>
      <c r="AT12" s="10" t="n"/>
      <c r="AU12" s="9" t="n"/>
      <c r="AV12" s="9">
        <f>AS12-AU12</f>
        <v/>
      </c>
      <c r="AW12" s="10" t="n"/>
      <c r="AX12" s="9" t="n"/>
      <c r="AY12" s="9">
        <f>AV12-AX12</f>
        <v/>
      </c>
      <c r="AZ12" s="10" t="n"/>
      <c r="BA12" s="9" t="n"/>
      <c r="BB12" s="9">
        <f>AY12-BA12</f>
        <v/>
      </c>
      <c r="BC12" s="10" t="n"/>
      <c r="BD12" s="9" t="n"/>
      <c r="BE12" s="9">
        <f>BB12-BD12</f>
        <v/>
      </c>
      <c r="BF12" s="10" t="n"/>
      <c r="BG12" s="9" t="n"/>
      <c r="BH12" s="9">
        <f>BE12-BG12</f>
        <v/>
      </c>
      <c r="BI12" s="10" t="n"/>
      <c r="BJ12" s="9" t="n"/>
      <c r="BK12" s="9">
        <f>BH12-BJ12</f>
        <v/>
      </c>
      <c r="BL12" s="10" t="n"/>
      <c r="BM12" s="9" t="n"/>
      <c r="BN12" s="9">
        <f>BK12-BM12</f>
        <v/>
      </c>
      <c r="BO12" s="10" t="n"/>
      <c r="BP12" s="11">
        <f>H12+K12+N12+Q12+T12+W12+Z12+AC12+AF12+AI12+AL12+AO12+AR12+AU12+AX12+BA12+BD12+BG12+BJ12+BM12</f>
        <v/>
      </c>
      <c r="BQ12" s="11">
        <f>G12-BP12</f>
        <v/>
      </c>
    </row>
    <row r="13" ht="30" customHeight="1">
      <c r="B13" s="8" t="inlineStr">
        <is>
          <t>E2-H1 (HU-03)</t>
        </is>
      </c>
      <c r="C13" s="14" t="inlineStr">
        <is>
          <t>Solicitud de presupuesto</t>
        </is>
      </c>
      <c r="D13" s="14" t="inlineStr">
        <is>
          <t>Formulario web de solicitud con validaciones</t>
        </is>
      </c>
      <c r="E13" s="8" t="inlineStr">
        <is>
          <t>Benjamín</t>
        </is>
      </c>
      <c r="F13" s="8" t="inlineStr">
        <is>
          <t>Hecho</t>
        </is>
      </c>
      <c r="G13" s="8" t="n">
        <v>6</v>
      </c>
      <c r="H13" s="9" t="n">
        <v>0</v>
      </c>
      <c r="I13" s="9">
        <f>G13-H13</f>
        <v/>
      </c>
      <c r="J13" s="10" t="n"/>
      <c r="K13" s="9" t="n">
        <v>0</v>
      </c>
      <c r="L13" s="9">
        <f>I13-K13</f>
        <v/>
      </c>
      <c r="M13" s="10" t="n"/>
      <c r="N13" s="9" t="n">
        <v>0</v>
      </c>
      <c r="O13" s="9">
        <f>L13-N13</f>
        <v/>
      </c>
      <c r="P13" s="10" t="n"/>
      <c r="Q13" s="9" t="n">
        <v>0</v>
      </c>
      <c r="R13" s="9">
        <f>O13-Q13</f>
        <v/>
      </c>
      <c r="S13" s="10" t="n"/>
      <c r="T13" s="9" t="n">
        <v>0</v>
      </c>
      <c r="U13" s="9">
        <f>R13-T13</f>
        <v/>
      </c>
      <c r="V13" s="10" t="n"/>
      <c r="W13" s="9" t="n">
        <v>0</v>
      </c>
      <c r="X13" s="9">
        <f>U13-W13</f>
        <v/>
      </c>
      <c r="Y13" s="10" t="n"/>
      <c r="Z13" s="9" t="n">
        <v>0</v>
      </c>
      <c r="AA13" s="9">
        <f>X13-Z13</f>
        <v/>
      </c>
      <c r="AB13" s="10" t="n"/>
      <c r="AC13" s="9" t="n">
        <v>0</v>
      </c>
      <c r="AD13" s="9">
        <f>AA13-AC13</f>
        <v/>
      </c>
      <c r="AE13" s="10" t="n"/>
      <c r="AF13" s="9" t="n">
        <v>6</v>
      </c>
      <c r="AG13" s="9">
        <f>AD13-AF13</f>
        <v/>
      </c>
      <c r="AH13" s="10" t="n"/>
      <c r="AI13" s="9" t="n">
        <v>0</v>
      </c>
      <c r="AJ13" s="9">
        <f>AG13-AI13</f>
        <v/>
      </c>
      <c r="AK13" s="10" t="n"/>
      <c r="AL13" s="9" t="n"/>
      <c r="AM13" s="9">
        <f>AJ13-AL13</f>
        <v/>
      </c>
      <c r="AN13" s="10" t="n"/>
      <c r="AO13" s="9" t="n"/>
      <c r="AP13" s="9">
        <f>AM13-AO13</f>
        <v/>
      </c>
      <c r="AQ13" s="10" t="n"/>
      <c r="AR13" s="9" t="n"/>
      <c r="AS13" s="9">
        <f>AP13-AR13</f>
        <v/>
      </c>
      <c r="AT13" s="10" t="n"/>
      <c r="AU13" s="9" t="n"/>
      <c r="AV13" s="9">
        <f>AS13-AU13</f>
        <v/>
      </c>
      <c r="AW13" s="10" t="n"/>
      <c r="AX13" s="9" t="n"/>
      <c r="AY13" s="9">
        <f>AV13-AX13</f>
        <v/>
      </c>
      <c r="AZ13" s="10" t="n"/>
      <c r="BA13" s="9" t="n"/>
      <c r="BB13" s="9">
        <f>AY13-BA13</f>
        <v/>
      </c>
      <c r="BC13" s="10" t="n"/>
      <c r="BD13" s="9" t="n"/>
      <c r="BE13" s="9">
        <f>BB13-BD13</f>
        <v/>
      </c>
      <c r="BF13" s="10" t="n"/>
      <c r="BG13" s="9" t="n"/>
      <c r="BH13" s="9">
        <f>BE13-BG13</f>
        <v/>
      </c>
      <c r="BI13" s="10" t="n"/>
      <c r="BJ13" s="9" t="n"/>
      <c r="BK13" s="9">
        <f>BH13-BJ13</f>
        <v/>
      </c>
      <c r="BL13" s="10" t="n"/>
      <c r="BM13" s="9" t="n"/>
      <c r="BN13" s="9">
        <f>BK13-BM13</f>
        <v/>
      </c>
      <c r="BO13" s="10" t="n"/>
      <c r="BP13" s="11">
        <f>H13+K13+N13+Q13+T13+W13+Z13+AC13+AF13+AI13+AL13+AO13+AR13+AU13+AX13+BA13+BD13+BG13+BJ13+BM13</f>
        <v/>
      </c>
      <c r="BQ13" s="11">
        <f>G13-BP13</f>
        <v/>
      </c>
    </row>
    <row r="14" ht="30" customHeight="1">
      <c r="B14" s="8" t="inlineStr">
        <is>
          <t>E2-H2 (HU-04)</t>
        </is>
      </c>
      <c r="C14" s="14" t="inlineStr">
        <is>
          <t>Generación de cotización</t>
        </is>
      </c>
      <c r="D14" s="14" t="inlineStr">
        <is>
          <t>Modelo de cotización y versionado de precios/UF</t>
        </is>
      </c>
      <c r="E14" s="8" t="inlineStr">
        <is>
          <t>Benjamín</t>
        </is>
      </c>
      <c r="F14" s="8" t="inlineStr">
        <is>
          <t>Hecho</t>
        </is>
      </c>
      <c r="G14" s="8" t="n">
        <v>6</v>
      </c>
      <c r="H14" s="9" t="n">
        <v>0</v>
      </c>
      <c r="I14" s="9">
        <f>G14-H14</f>
        <v/>
      </c>
      <c r="J14" s="10" t="n"/>
      <c r="K14" s="9" t="n">
        <v>0</v>
      </c>
      <c r="L14" s="9">
        <f>I14-K14</f>
        <v/>
      </c>
      <c r="M14" s="10" t="n"/>
      <c r="N14" s="9" t="n">
        <v>0</v>
      </c>
      <c r="O14" s="9">
        <f>L14-N14</f>
        <v/>
      </c>
      <c r="P14" s="10" t="n"/>
      <c r="Q14" s="9" t="n">
        <v>0</v>
      </c>
      <c r="R14" s="9">
        <f>O14-Q14</f>
        <v/>
      </c>
      <c r="S14" s="10" t="n"/>
      <c r="T14" s="9" t="n">
        <v>0</v>
      </c>
      <c r="U14" s="9">
        <f>R14-T14</f>
        <v/>
      </c>
      <c r="V14" s="10" t="n"/>
      <c r="W14" s="9" t="n">
        <v>0</v>
      </c>
      <c r="X14" s="9">
        <f>U14-W14</f>
        <v/>
      </c>
      <c r="Y14" s="10" t="n"/>
      <c r="Z14" s="9" t="n">
        <v>0</v>
      </c>
      <c r="AA14" s="9">
        <f>X14-Z14</f>
        <v/>
      </c>
      <c r="AB14" s="10" t="n"/>
      <c r="AC14" s="9" t="n">
        <v>0</v>
      </c>
      <c r="AD14" s="9">
        <f>AA14-AC14</f>
        <v/>
      </c>
      <c r="AE14" s="10" t="n"/>
      <c r="AF14" s="9" t="n">
        <v>6</v>
      </c>
      <c r="AG14" s="9">
        <f>AD14-AF14</f>
        <v/>
      </c>
      <c r="AH14" s="10" t="n"/>
      <c r="AI14" s="9" t="n">
        <v>0</v>
      </c>
      <c r="AJ14" s="9">
        <f>AG14-AI14</f>
        <v/>
      </c>
      <c r="AK14" s="10" t="n"/>
      <c r="AL14" s="9" t="n"/>
      <c r="AM14" s="9">
        <f>AJ14-AL14</f>
        <v/>
      </c>
      <c r="AN14" s="10" t="n"/>
      <c r="AO14" s="9" t="n"/>
      <c r="AP14" s="9">
        <f>AM14-AO14</f>
        <v/>
      </c>
      <c r="AQ14" s="10" t="n"/>
      <c r="AR14" s="9" t="n"/>
      <c r="AS14" s="9">
        <f>AP14-AR14</f>
        <v/>
      </c>
      <c r="AT14" s="10" t="n"/>
      <c r="AU14" s="9" t="n"/>
      <c r="AV14" s="9">
        <f>AS14-AU14</f>
        <v/>
      </c>
      <c r="AW14" s="10" t="n"/>
      <c r="AX14" s="9" t="n"/>
      <c r="AY14" s="9">
        <f>AV14-AX14</f>
        <v/>
      </c>
      <c r="AZ14" s="10" t="n"/>
      <c r="BA14" s="9" t="n"/>
      <c r="BB14" s="9">
        <f>AY14-BA14</f>
        <v/>
      </c>
      <c r="BC14" s="10" t="n"/>
      <c r="BD14" s="9" t="n"/>
      <c r="BE14" s="9">
        <f>BB14-BD14</f>
        <v/>
      </c>
      <c r="BF14" s="10" t="n"/>
      <c r="BG14" s="9" t="n"/>
      <c r="BH14" s="9">
        <f>BE14-BG14</f>
        <v/>
      </c>
      <c r="BI14" s="10" t="n"/>
      <c r="BJ14" s="9" t="n"/>
      <c r="BK14" s="9">
        <f>BH14-BJ14</f>
        <v/>
      </c>
      <c r="BL14" s="10" t="n"/>
      <c r="BM14" s="9" t="n"/>
      <c r="BN14" s="9">
        <f>BK14-BM14</f>
        <v/>
      </c>
      <c r="BO14" s="10" t="n"/>
      <c r="BP14" s="11">
        <f>H14+K14+N14+Q14+T14+W14+Z14+AC14+AF14+AI14+AL14+AO14+AR14+AU14+AX14+BA14+BD14+BG14+BJ14+BM14</f>
        <v/>
      </c>
      <c r="BQ14" s="11">
        <f>G14-BP14</f>
        <v/>
      </c>
    </row>
    <row r="15" ht="30" customHeight="1">
      <c r="B15" s="8" t="inlineStr">
        <is>
          <t>E2-H2 (HU-04)</t>
        </is>
      </c>
      <c r="C15" s="14" t="inlineStr">
        <is>
          <t>Generación de cotización</t>
        </is>
      </c>
      <c r="D15" s="14" t="inlineStr">
        <is>
          <t>Endpoint API para generar cotización</t>
        </is>
      </c>
      <c r="E15" s="8" t="inlineStr">
        <is>
          <t>Benjamín</t>
        </is>
      </c>
      <c r="F15" s="8" t="inlineStr">
        <is>
          <t>Hecho</t>
        </is>
      </c>
      <c r="G15" s="8" t="n">
        <v>6</v>
      </c>
      <c r="H15" s="9" t="n">
        <v>0</v>
      </c>
      <c r="I15" s="9">
        <f>G15-H15</f>
        <v/>
      </c>
      <c r="J15" s="10" t="n"/>
      <c r="K15" s="9" t="n">
        <v>0</v>
      </c>
      <c r="L15" s="9">
        <f>I15-K15</f>
        <v/>
      </c>
      <c r="M15" s="10" t="n"/>
      <c r="N15" s="9" t="n">
        <v>0</v>
      </c>
      <c r="O15" s="9">
        <f>L15-N15</f>
        <v/>
      </c>
      <c r="P15" s="10" t="n"/>
      <c r="Q15" s="9" t="n">
        <v>0</v>
      </c>
      <c r="R15" s="9">
        <f>O15-Q15</f>
        <v/>
      </c>
      <c r="S15" s="10" t="n"/>
      <c r="T15" s="9" t="n">
        <v>0</v>
      </c>
      <c r="U15" s="9">
        <f>R15-T15</f>
        <v/>
      </c>
      <c r="V15" s="10" t="n"/>
      <c r="W15" s="9" t="n">
        <v>0</v>
      </c>
      <c r="X15" s="9">
        <f>U15-W15</f>
        <v/>
      </c>
      <c r="Y15" s="10" t="n"/>
      <c r="Z15" s="9" t="n">
        <v>0</v>
      </c>
      <c r="AA15" s="9">
        <f>X15-Z15</f>
        <v/>
      </c>
      <c r="AB15" s="10" t="n"/>
      <c r="AC15" s="9" t="n">
        <v>0</v>
      </c>
      <c r="AD15" s="9">
        <f>AA15-AC15</f>
        <v/>
      </c>
      <c r="AE15" s="10" t="n"/>
      <c r="AF15" s="9" t="n">
        <v>6</v>
      </c>
      <c r="AG15" s="9">
        <f>AD15-AF15</f>
        <v/>
      </c>
      <c r="AH15" s="10" t="n"/>
      <c r="AI15" s="9" t="n">
        <v>0</v>
      </c>
      <c r="AJ15" s="9">
        <f>AG15-AI15</f>
        <v/>
      </c>
      <c r="AK15" s="10" t="n"/>
      <c r="AL15" s="9" t="n"/>
      <c r="AM15" s="9">
        <f>AJ15-AL15</f>
        <v/>
      </c>
      <c r="AN15" s="10" t="n"/>
      <c r="AO15" s="9" t="n"/>
      <c r="AP15" s="9">
        <f>AM15-AO15</f>
        <v/>
      </c>
      <c r="AQ15" s="10" t="n"/>
      <c r="AR15" s="9" t="n"/>
      <c r="AS15" s="9">
        <f>AP15-AR15</f>
        <v/>
      </c>
      <c r="AT15" s="10" t="n"/>
      <c r="AU15" s="9" t="n"/>
      <c r="AV15" s="9">
        <f>AS15-AU15</f>
        <v/>
      </c>
      <c r="AW15" s="10" t="n"/>
      <c r="AX15" s="9" t="n"/>
      <c r="AY15" s="9">
        <f>AV15-AX15</f>
        <v/>
      </c>
      <c r="AZ15" s="10" t="n"/>
      <c r="BA15" s="9" t="n"/>
      <c r="BB15" s="9">
        <f>AY15-BA15</f>
        <v/>
      </c>
      <c r="BC15" s="10" t="n"/>
      <c r="BD15" s="9" t="n"/>
      <c r="BE15" s="9">
        <f>BB15-BD15</f>
        <v/>
      </c>
      <c r="BF15" s="10" t="n"/>
      <c r="BG15" s="9" t="n"/>
      <c r="BH15" s="9">
        <f>BE15-BG15</f>
        <v/>
      </c>
      <c r="BI15" s="10" t="n"/>
      <c r="BJ15" s="9" t="n"/>
      <c r="BK15" s="9">
        <f>BH15-BJ15</f>
        <v/>
      </c>
      <c r="BL15" s="10" t="n"/>
      <c r="BM15" s="9" t="n"/>
      <c r="BN15" s="9">
        <f>BK15-BM15</f>
        <v/>
      </c>
      <c r="BO15" s="10" t="n"/>
      <c r="BP15" s="11">
        <f>H15+K15+N15+Q15+T15+W15+Z15+AC15+AF15+AI15+AL15+AO15+AR15+AU15+AX15+BA15+BD15+BG15+BJ15+BM15</f>
        <v/>
      </c>
      <c r="BQ15" s="11">
        <f>G15-BP15</f>
        <v/>
      </c>
    </row>
    <row r="16" ht="30" customHeight="1">
      <c r="B16" s="8" t="inlineStr">
        <is>
          <t>E2-H2 (HU-04)</t>
        </is>
      </c>
      <c r="C16" s="14" t="inlineStr">
        <is>
          <t>Generación de cotización</t>
        </is>
      </c>
      <c r="D16" s="14" t="inlineStr">
        <is>
          <t>Vista de administración para cotizar</t>
        </is>
      </c>
      <c r="E16" s="8" t="inlineStr">
        <is>
          <t>Benjamín</t>
        </is>
      </c>
      <c r="F16" s="8" t="inlineStr">
        <is>
          <t>Hecho</t>
        </is>
      </c>
      <c r="G16" s="8" t="n">
        <v>5</v>
      </c>
      <c r="H16" s="9" t="n">
        <v>0</v>
      </c>
      <c r="I16" s="9">
        <f>G16-H16</f>
        <v/>
      </c>
      <c r="J16" s="10" t="n"/>
      <c r="K16" s="9" t="n">
        <v>0</v>
      </c>
      <c r="L16" s="9">
        <f>I16-K16</f>
        <v/>
      </c>
      <c r="M16" s="10" t="n"/>
      <c r="N16" s="9" t="n">
        <v>0</v>
      </c>
      <c r="O16" s="9">
        <f>L16-N16</f>
        <v/>
      </c>
      <c r="P16" s="10" t="n"/>
      <c r="Q16" s="9" t="n">
        <v>0</v>
      </c>
      <c r="R16" s="9">
        <f>O16-Q16</f>
        <v/>
      </c>
      <c r="S16" s="10" t="n"/>
      <c r="T16" s="9" t="n">
        <v>0</v>
      </c>
      <c r="U16" s="9">
        <f>R16-T16</f>
        <v/>
      </c>
      <c r="V16" s="10" t="n"/>
      <c r="W16" s="9" t="n">
        <v>0</v>
      </c>
      <c r="X16" s="9">
        <f>U16-W16</f>
        <v/>
      </c>
      <c r="Y16" s="10" t="n"/>
      <c r="Z16" s="9" t="n">
        <v>0</v>
      </c>
      <c r="AA16" s="9">
        <f>X16-Z16</f>
        <v/>
      </c>
      <c r="AB16" s="10" t="n"/>
      <c r="AC16" s="9" t="n">
        <v>0</v>
      </c>
      <c r="AD16" s="9">
        <f>AA16-AC16</f>
        <v/>
      </c>
      <c r="AE16" s="10" t="n"/>
      <c r="AF16" s="9" t="n">
        <v>5</v>
      </c>
      <c r="AG16" s="9">
        <f>AD16-AF16</f>
        <v/>
      </c>
      <c r="AH16" s="10" t="n"/>
      <c r="AI16" s="9" t="n">
        <v>0</v>
      </c>
      <c r="AJ16" s="9">
        <f>AG16-AI16</f>
        <v/>
      </c>
      <c r="AK16" s="10" t="n"/>
      <c r="AL16" s="9" t="n"/>
      <c r="AM16" s="9">
        <f>AJ16-AL16</f>
        <v/>
      </c>
      <c r="AN16" s="10" t="n"/>
      <c r="AO16" s="9" t="n"/>
      <c r="AP16" s="9">
        <f>AM16-AO16</f>
        <v/>
      </c>
      <c r="AQ16" s="10" t="n"/>
      <c r="AR16" s="9" t="n"/>
      <c r="AS16" s="9">
        <f>AP16-AR16</f>
        <v/>
      </c>
      <c r="AT16" s="10" t="n"/>
      <c r="AU16" s="9" t="n"/>
      <c r="AV16" s="9">
        <f>AS16-AU16</f>
        <v/>
      </c>
      <c r="AW16" s="10" t="n"/>
      <c r="AX16" s="9" t="n"/>
      <c r="AY16" s="9">
        <f>AV16-AX16</f>
        <v/>
      </c>
      <c r="AZ16" s="10" t="n"/>
      <c r="BA16" s="9" t="n"/>
      <c r="BB16" s="9">
        <f>AY16-BA16</f>
        <v/>
      </c>
      <c r="BC16" s="10" t="n"/>
      <c r="BD16" s="9" t="n"/>
      <c r="BE16" s="9">
        <f>BB16-BD16</f>
        <v/>
      </c>
      <c r="BF16" s="10" t="n"/>
      <c r="BG16" s="9" t="n"/>
      <c r="BH16" s="9">
        <f>BE16-BG16</f>
        <v/>
      </c>
      <c r="BI16" s="10" t="n"/>
      <c r="BJ16" s="9" t="n"/>
      <c r="BK16" s="9">
        <f>BH16-BJ16</f>
        <v/>
      </c>
      <c r="BL16" s="10" t="n"/>
      <c r="BM16" s="9" t="n"/>
      <c r="BN16" s="9">
        <f>BK16-BM16</f>
        <v/>
      </c>
      <c r="BO16" s="10" t="n"/>
      <c r="BP16" s="11">
        <f>H16+K16+N16+Q16+T16+W16+Z16+AC16+AF16+AI16+AL16+AO16+AR16+AU16+AX16+BA16+BD16+BG16+BJ16+BM16</f>
        <v/>
      </c>
      <c r="BQ16" s="11">
        <f>G16-BP16</f>
        <v/>
      </c>
    </row>
    <row r="17" ht="30" customHeight="1">
      <c r="B17" s="8" t="inlineStr">
        <is>
          <t>E2-H3 (HU-05)</t>
        </is>
      </c>
      <c r="C17" s="14" t="inlineStr">
        <is>
          <t>Aceptación de cotización</t>
        </is>
      </c>
      <c r="D17" s="14" t="inlineStr">
        <is>
          <t>Endpoint API para aceptar/rechazar cotización</t>
        </is>
      </c>
      <c r="E17" s="8" t="inlineStr">
        <is>
          <t>Benjamín</t>
        </is>
      </c>
      <c r="F17" s="8" t="inlineStr">
        <is>
          <t>Hecho</t>
        </is>
      </c>
      <c r="G17" s="8" t="n">
        <v>4</v>
      </c>
      <c r="H17" s="9" t="n">
        <v>0</v>
      </c>
      <c r="I17" s="9">
        <f>G17-H17</f>
        <v/>
      </c>
      <c r="J17" s="10" t="n"/>
      <c r="K17" s="9" t="n">
        <v>0</v>
      </c>
      <c r="L17" s="9">
        <f>I17-K17</f>
        <v/>
      </c>
      <c r="M17" s="10" t="n"/>
      <c r="N17" s="9" t="n">
        <v>0</v>
      </c>
      <c r="O17" s="9">
        <f>L17-N17</f>
        <v/>
      </c>
      <c r="P17" s="10" t="n"/>
      <c r="Q17" s="9" t="n">
        <v>0</v>
      </c>
      <c r="R17" s="9">
        <f>O17-Q17</f>
        <v/>
      </c>
      <c r="S17" s="10" t="n"/>
      <c r="T17" s="9" t="n">
        <v>0</v>
      </c>
      <c r="U17" s="9">
        <f>R17-T17</f>
        <v/>
      </c>
      <c r="V17" s="10" t="n"/>
      <c r="W17" s="9" t="n">
        <v>0</v>
      </c>
      <c r="X17" s="9">
        <f>U17-W17</f>
        <v/>
      </c>
      <c r="Y17" s="10" t="n"/>
      <c r="Z17" s="9" t="n">
        <v>0</v>
      </c>
      <c r="AA17" s="9">
        <f>X17-Z17</f>
        <v/>
      </c>
      <c r="AB17" s="10" t="n"/>
      <c r="AC17" s="9" t="n">
        <v>0</v>
      </c>
      <c r="AD17" s="9">
        <f>AA17-AC17</f>
        <v/>
      </c>
      <c r="AE17" s="10" t="n"/>
      <c r="AF17" s="9" t="n">
        <v>4</v>
      </c>
      <c r="AG17" s="9">
        <f>AD17-AF17</f>
        <v/>
      </c>
      <c r="AH17" s="10" t="n"/>
      <c r="AI17" s="9" t="n">
        <v>0</v>
      </c>
      <c r="AJ17" s="9">
        <f>AG17-AI17</f>
        <v/>
      </c>
      <c r="AK17" s="10" t="n"/>
      <c r="AL17" s="9" t="n"/>
      <c r="AM17" s="9">
        <f>AJ17-AL17</f>
        <v/>
      </c>
      <c r="AN17" s="10" t="n"/>
      <c r="AO17" s="9" t="n"/>
      <c r="AP17" s="9">
        <f>AM17-AO17</f>
        <v/>
      </c>
      <c r="AQ17" s="10" t="n"/>
      <c r="AR17" s="9" t="n"/>
      <c r="AS17" s="9">
        <f>AP17-AR17</f>
        <v/>
      </c>
      <c r="AT17" s="10" t="n"/>
      <c r="AU17" s="9" t="n"/>
      <c r="AV17" s="9">
        <f>AS17-AU17</f>
        <v/>
      </c>
      <c r="AW17" s="10" t="n"/>
      <c r="AX17" s="9" t="n"/>
      <c r="AY17" s="9">
        <f>AV17-AX17</f>
        <v/>
      </c>
      <c r="AZ17" s="10" t="n"/>
      <c r="BA17" s="9" t="n"/>
      <c r="BB17" s="9">
        <f>AY17-BA17</f>
        <v/>
      </c>
      <c r="BC17" s="10" t="n"/>
      <c r="BD17" s="9" t="n"/>
      <c r="BE17" s="9">
        <f>BB17-BD17</f>
        <v/>
      </c>
      <c r="BF17" s="10" t="n"/>
      <c r="BG17" s="9" t="n"/>
      <c r="BH17" s="9">
        <f>BE17-BG17</f>
        <v/>
      </c>
      <c r="BI17" s="10" t="n"/>
      <c r="BJ17" s="9" t="n"/>
      <c r="BK17" s="9">
        <f>BH17-BJ17</f>
        <v/>
      </c>
      <c r="BL17" s="10" t="n"/>
      <c r="BM17" s="9" t="n"/>
      <c r="BN17" s="9">
        <f>BK17-BM17</f>
        <v/>
      </c>
      <c r="BO17" s="10" t="n"/>
      <c r="BP17" s="11">
        <f>H17+K17+N17+Q17+T17+W17+Z17+AC17+AF17+AI17+AL17+AO17+AR17+AU17+AX17+BA17+BD17+BG17+BJ17+BM17</f>
        <v/>
      </c>
      <c r="BQ17" s="11">
        <f>G17-BP17</f>
        <v/>
      </c>
    </row>
    <row r="18" ht="30" customHeight="1">
      <c r="B18" s="8" t="inlineStr">
        <is>
          <t>E2-H3 (HU-05)</t>
        </is>
      </c>
      <c r="C18" s="14" t="inlineStr">
        <is>
          <t>Aceptación de cotización</t>
        </is>
      </c>
      <c r="D18" s="14" t="inlineStr">
        <is>
          <t>Vista web de aceptación de cotización</t>
        </is>
      </c>
      <c r="E18" s="8" t="inlineStr">
        <is>
          <t>Benjamín</t>
        </is>
      </c>
      <c r="F18" s="8" t="inlineStr">
        <is>
          <t>Hecho</t>
        </is>
      </c>
      <c r="G18" s="8" t="n">
        <v>4</v>
      </c>
      <c r="H18" s="9" t="n">
        <v>0</v>
      </c>
      <c r="I18" s="9">
        <f>G18-H18</f>
        <v/>
      </c>
      <c r="J18" s="10" t="n"/>
      <c r="K18" s="9" t="n">
        <v>0</v>
      </c>
      <c r="L18" s="9">
        <f>I18-K18</f>
        <v/>
      </c>
      <c r="M18" s="10" t="n"/>
      <c r="N18" s="9" t="n">
        <v>0</v>
      </c>
      <c r="O18" s="9">
        <f>L18-N18</f>
        <v/>
      </c>
      <c r="P18" s="10" t="n"/>
      <c r="Q18" s="9" t="n">
        <v>0</v>
      </c>
      <c r="R18" s="9">
        <f>O18-Q18</f>
        <v/>
      </c>
      <c r="S18" s="10" t="n"/>
      <c r="T18" s="9" t="n">
        <v>0</v>
      </c>
      <c r="U18" s="9">
        <f>R18-T18</f>
        <v/>
      </c>
      <c r="V18" s="10" t="n"/>
      <c r="W18" s="9" t="n">
        <v>0</v>
      </c>
      <c r="X18" s="9">
        <f>U18-W18</f>
        <v/>
      </c>
      <c r="Y18" s="10" t="n"/>
      <c r="Z18" s="9" t="n">
        <v>0</v>
      </c>
      <c r="AA18" s="9">
        <f>X18-Z18</f>
        <v/>
      </c>
      <c r="AB18" s="10" t="n"/>
      <c r="AC18" s="9" t="n">
        <v>0</v>
      </c>
      <c r="AD18" s="9">
        <f>AA18-AC18</f>
        <v/>
      </c>
      <c r="AE18" s="10" t="n"/>
      <c r="AF18" s="9" t="n">
        <v>4</v>
      </c>
      <c r="AG18" s="9">
        <f>AD18-AF18</f>
        <v/>
      </c>
      <c r="AH18" s="10" t="n"/>
      <c r="AI18" s="9" t="n">
        <v>0</v>
      </c>
      <c r="AJ18" s="9">
        <f>AG18-AI18</f>
        <v/>
      </c>
      <c r="AK18" s="10" t="n"/>
      <c r="AL18" s="9" t="n"/>
      <c r="AM18" s="9">
        <f>AJ18-AL18</f>
        <v/>
      </c>
      <c r="AN18" s="10" t="n"/>
      <c r="AO18" s="9" t="n"/>
      <c r="AP18" s="9">
        <f>AM18-AO18</f>
        <v/>
      </c>
      <c r="AQ18" s="10" t="n"/>
      <c r="AR18" s="9" t="n"/>
      <c r="AS18" s="9">
        <f>AP18-AR18</f>
        <v/>
      </c>
      <c r="AT18" s="10" t="n"/>
      <c r="AU18" s="9" t="n"/>
      <c r="AV18" s="9">
        <f>AS18-AU18</f>
        <v/>
      </c>
      <c r="AW18" s="10" t="n"/>
      <c r="AX18" s="9" t="n"/>
      <c r="AY18" s="9">
        <f>AV18-AX18</f>
        <v/>
      </c>
      <c r="AZ18" s="10" t="n"/>
      <c r="BA18" s="9" t="n"/>
      <c r="BB18" s="9">
        <f>AY18-BA18</f>
        <v/>
      </c>
      <c r="BC18" s="10" t="n"/>
      <c r="BD18" s="9" t="n"/>
      <c r="BE18" s="9">
        <f>BB18-BD18</f>
        <v/>
      </c>
      <c r="BF18" s="10" t="n"/>
      <c r="BG18" s="9" t="n"/>
      <c r="BH18" s="9">
        <f>BE18-BG18</f>
        <v/>
      </c>
      <c r="BI18" s="10" t="n"/>
      <c r="BJ18" s="9" t="n"/>
      <c r="BK18" s="9">
        <f>BH18-BJ18</f>
        <v/>
      </c>
      <c r="BL18" s="10" t="n"/>
      <c r="BM18" s="9" t="n"/>
      <c r="BN18" s="9">
        <f>BK18-BM18</f>
        <v/>
      </c>
      <c r="BO18" s="10" t="n"/>
      <c r="BP18" s="11">
        <f>H18+K18+N18+Q18+T18+W18+Z18+AC18+AF18+AI18+AL18+AO18+AR18+AU18+AX18+BA18+BD18+BG18+BJ18+BM18</f>
        <v/>
      </c>
      <c r="BQ18" s="11">
        <f>G18-BP18</f>
        <v/>
      </c>
    </row>
    <row r="19" ht="30" customHeight="1">
      <c r="B19" s="8" t="inlineStr">
        <is>
          <t>E8-H1 (HU-12)</t>
        </is>
      </c>
      <c r="C19" s="14" t="inlineStr">
        <is>
          <t>Auditoría de acciones</t>
        </is>
      </c>
      <c r="D19" s="14" t="inlineStr">
        <is>
          <t>Modelo de historial de auditoría</t>
        </is>
      </c>
      <c r="E19" s="8" t="inlineStr">
        <is>
          <t>Benjamín</t>
        </is>
      </c>
      <c r="F19" s="8" t="inlineStr">
        <is>
          <t>Hecho</t>
        </is>
      </c>
      <c r="G19" s="8" t="n">
        <v>4</v>
      </c>
      <c r="H19" s="9" t="n">
        <v>0</v>
      </c>
      <c r="I19" s="9">
        <f>G19-H19</f>
        <v/>
      </c>
      <c r="J19" s="10" t="n"/>
      <c r="K19" s="9" t="n">
        <v>0</v>
      </c>
      <c r="L19" s="9">
        <f>I19-K19</f>
        <v/>
      </c>
      <c r="M19" s="10" t="n"/>
      <c r="N19" s="9" t="n">
        <v>0</v>
      </c>
      <c r="O19" s="9">
        <f>L19-N19</f>
        <v/>
      </c>
      <c r="P19" s="10" t="n"/>
      <c r="Q19" s="9" t="n">
        <v>0</v>
      </c>
      <c r="R19" s="9">
        <f>O19-Q19</f>
        <v/>
      </c>
      <c r="S19" s="10" t="n"/>
      <c r="T19" s="9" t="n">
        <v>0</v>
      </c>
      <c r="U19" s="9">
        <f>R19-T19</f>
        <v/>
      </c>
      <c r="V19" s="10" t="n"/>
      <c r="W19" s="9" t="n">
        <v>0</v>
      </c>
      <c r="X19" s="9">
        <f>U19-W19</f>
        <v/>
      </c>
      <c r="Y19" s="10" t="n"/>
      <c r="Z19" s="9" t="n">
        <v>0</v>
      </c>
      <c r="AA19" s="9">
        <f>X19-Z19</f>
        <v/>
      </c>
      <c r="AB19" s="10" t="n"/>
      <c r="AC19" s="9" t="n">
        <v>0</v>
      </c>
      <c r="AD19" s="9">
        <f>AA19-AC19</f>
        <v/>
      </c>
      <c r="AE19" s="10" t="n"/>
      <c r="AF19" s="9" t="n">
        <v>4</v>
      </c>
      <c r="AG19" s="9">
        <f>AD19-AF19</f>
        <v/>
      </c>
      <c r="AH19" s="10" t="n"/>
      <c r="AI19" s="9" t="n">
        <v>0</v>
      </c>
      <c r="AJ19" s="9">
        <f>AG19-AI19</f>
        <v/>
      </c>
      <c r="AK19" s="10" t="n"/>
      <c r="AL19" s="9" t="n"/>
      <c r="AM19" s="9">
        <f>AJ19-AL19</f>
        <v/>
      </c>
      <c r="AN19" s="10" t="n"/>
      <c r="AO19" s="9" t="n"/>
      <c r="AP19" s="9">
        <f>AM19-AO19</f>
        <v/>
      </c>
      <c r="AQ19" s="10" t="n"/>
      <c r="AR19" s="9" t="n"/>
      <c r="AS19" s="9">
        <f>AP19-AR19</f>
        <v/>
      </c>
      <c r="AT19" s="10" t="n"/>
      <c r="AU19" s="9" t="n"/>
      <c r="AV19" s="9">
        <f>AS19-AU19</f>
        <v/>
      </c>
      <c r="AW19" s="10" t="n"/>
      <c r="AX19" s="9" t="n"/>
      <c r="AY19" s="9">
        <f>AV19-AX19</f>
        <v/>
      </c>
      <c r="AZ19" s="10" t="n"/>
      <c r="BA19" s="9" t="n"/>
      <c r="BB19" s="9">
        <f>AY19-BA19</f>
        <v/>
      </c>
      <c r="BC19" s="10" t="n"/>
      <c r="BD19" s="9" t="n"/>
      <c r="BE19" s="9">
        <f>BB19-BD19</f>
        <v/>
      </c>
      <c r="BF19" s="10" t="n"/>
      <c r="BG19" s="9" t="n"/>
      <c r="BH19" s="9">
        <f>BE19-BG19</f>
        <v/>
      </c>
      <c r="BI19" s="10" t="n"/>
      <c r="BJ19" s="9" t="n"/>
      <c r="BK19" s="9">
        <f>BH19-BJ19</f>
        <v/>
      </c>
      <c r="BL19" s="10" t="n"/>
      <c r="BM19" s="9" t="n"/>
      <c r="BN19" s="9">
        <f>BK19-BM19</f>
        <v/>
      </c>
      <c r="BO19" s="10" t="n"/>
      <c r="BP19" s="11">
        <f>H19+K19+N19+Q19+T19+W19+Z19+AC19+AF19+AI19+AL19+AO19+AR19+AU19+AX19+BA19+BD19+BG19+BJ19+BM19</f>
        <v/>
      </c>
      <c r="BQ19" s="11">
        <f>G19-BP19</f>
        <v/>
      </c>
    </row>
    <row r="20" ht="30" customHeight="1">
      <c r="B20" s="8" t="inlineStr">
        <is>
          <t>E8-H1 (HU-12)</t>
        </is>
      </c>
      <c r="C20" s="14" t="inlineStr">
        <is>
          <t>Auditoría de acciones</t>
        </is>
      </c>
      <c r="D20" s="14" t="inlineStr">
        <is>
          <t>Middleware de registro de acciones por auditar</t>
        </is>
      </c>
      <c r="E20" s="8" t="inlineStr">
        <is>
          <t>Benjamín</t>
        </is>
      </c>
      <c r="F20" s="8" t="inlineStr">
        <is>
          <t>Hecho</t>
        </is>
      </c>
      <c r="G20" s="8" t="n">
        <v>6</v>
      </c>
      <c r="H20" s="9" t="n">
        <v>0</v>
      </c>
      <c r="I20" s="9">
        <f>G20-H20</f>
        <v/>
      </c>
      <c r="J20" s="10" t="n"/>
      <c r="K20" s="9" t="n">
        <v>0</v>
      </c>
      <c r="L20" s="9">
        <f>I20-K20</f>
        <v/>
      </c>
      <c r="M20" s="10" t="n"/>
      <c r="N20" s="9" t="n">
        <v>0</v>
      </c>
      <c r="O20" s="9">
        <f>L20-N20</f>
        <v/>
      </c>
      <c r="P20" s="10" t="n"/>
      <c r="Q20" s="9" t="n">
        <v>0</v>
      </c>
      <c r="R20" s="9">
        <f>O20-Q20</f>
        <v/>
      </c>
      <c r="S20" s="10" t="n"/>
      <c r="T20" s="9" t="n">
        <v>0</v>
      </c>
      <c r="U20" s="9">
        <f>R20-T20</f>
        <v/>
      </c>
      <c r="V20" s="10" t="n"/>
      <c r="W20" s="9" t="n">
        <v>0</v>
      </c>
      <c r="X20" s="9">
        <f>U20-W20</f>
        <v/>
      </c>
      <c r="Y20" s="10" t="n"/>
      <c r="Z20" s="9" t="n">
        <v>0</v>
      </c>
      <c r="AA20" s="9">
        <f>X20-Z20</f>
        <v/>
      </c>
      <c r="AB20" s="10" t="n"/>
      <c r="AC20" s="9" t="n">
        <v>0</v>
      </c>
      <c r="AD20" s="9">
        <f>AA20-AC20</f>
        <v/>
      </c>
      <c r="AE20" s="10" t="n"/>
      <c r="AF20" s="9" t="n">
        <v>6</v>
      </c>
      <c r="AG20" s="9">
        <f>AD20-AF20</f>
        <v/>
      </c>
      <c r="AH20" s="10" t="n"/>
      <c r="AI20" s="9" t="n">
        <v>0</v>
      </c>
      <c r="AJ20" s="9">
        <f>AG20-AI20</f>
        <v/>
      </c>
      <c r="AK20" s="10" t="n"/>
      <c r="AL20" s="9" t="n"/>
      <c r="AM20" s="9">
        <f>AJ20-AL20</f>
        <v/>
      </c>
      <c r="AN20" s="10" t="n"/>
      <c r="AO20" s="9" t="n"/>
      <c r="AP20" s="9">
        <f>AM20-AO20</f>
        <v/>
      </c>
      <c r="AQ20" s="10" t="n"/>
      <c r="AR20" s="9" t="n"/>
      <c r="AS20" s="9">
        <f>AP20-AR20</f>
        <v/>
      </c>
      <c r="AT20" s="10" t="n"/>
      <c r="AU20" s="9" t="n"/>
      <c r="AV20" s="9">
        <f>AS20-AU20</f>
        <v/>
      </c>
      <c r="AW20" s="10" t="n"/>
      <c r="AX20" s="9" t="n"/>
      <c r="AY20" s="9">
        <f>AV20-AX20</f>
        <v/>
      </c>
      <c r="AZ20" s="10" t="n"/>
      <c r="BA20" s="9" t="n"/>
      <c r="BB20" s="9">
        <f>AY20-BA20</f>
        <v/>
      </c>
      <c r="BC20" s="10" t="n"/>
      <c r="BD20" s="9" t="n"/>
      <c r="BE20" s="9">
        <f>BB20-BD20</f>
        <v/>
      </c>
      <c r="BF20" s="10" t="n"/>
      <c r="BG20" s="9" t="n"/>
      <c r="BH20" s="9">
        <f>BE20-BG20</f>
        <v/>
      </c>
      <c r="BI20" s="10" t="n"/>
      <c r="BJ20" s="9" t="n"/>
      <c r="BK20" s="9">
        <f>BH20-BJ20</f>
        <v/>
      </c>
      <c r="BL20" s="10" t="n"/>
      <c r="BM20" s="9" t="n"/>
      <c r="BN20" s="9">
        <f>BK20-BM20</f>
        <v/>
      </c>
      <c r="BO20" s="10" t="n"/>
      <c r="BP20" s="11">
        <f>H20+K20+N20+Q20+T20+W20+Z20+AC20+AF20+AI20+AL20+AO20+AR20+AU20+AX20+BA20+BD20+BG20+BJ20+BM20</f>
        <v/>
      </c>
      <c r="BQ20" s="11">
        <f>G20-BP20</f>
        <v/>
      </c>
    </row>
    <row r="21" ht="30" customHeight="1">
      <c r="B21" s="8" t="inlineStr">
        <is>
          <t>E3-H1 (HU-06)</t>
        </is>
      </c>
      <c r="C21" s="14" t="inlineStr">
        <is>
          <t>Generación de orden de compra</t>
        </is>
      </c>
      <c r="D21" s="14" t="inlineStr">
        <is>
          <t>Modelo de orden de compra y documento de anticipo</t>
        </is>
      </c>
      <c r="E21" s="8" t="inlineStr">
        <is>
          <t>Benjamín</t>
        </is>
      </c>
      <c r="F21" s="8" t="inlineStr">
        <is>
          <t>Hecho</t>
        </is>
      </c>
      <c r="G21" s="8" t="n">
        <v>4</v>
      </c>
      <c r="H21" s="9" t="n">
        <v>0</v>
      </c>
      <c r="I21" s="9">
        <f>G21-H21</f>
        <v/>
      </c>
      <c r="J21" s="10" t="n"/>
      <c r="K21" s="9" t="n">
        <v>0</v>
      </c>
      <c r="L21" s="9">
        <f>I21-K21</f>
        <v/>
      </c>
      <c r="M21" s="10" t="n"/>
      <c r="N21" s="9" t="n">
        <v>0</v>
      </c>
      <c r="O21" s="9">
        <f>L21-N21</f>
        <v/>
      </c>
      <c r="P21" s="10" t="n"/>
      <c r="Q21" s="9" t="n">
        <v>0</v>
      </c>
      <c r="R21" s="9">
        <f>O21-Q21</f>
        <v/>
      </c>
      <c r="S21" s="10" t="n"/>
      <c r="T21" s="9" t="n">
        <v>0</v>
      </c>
      <c r="U21" s="9">
        <f>R21-T21</f>
        <v/>
      </c>
      <c r="V21" s="10" t="n"/>
      <c r="W21" s="9" t="n">
        <v>0</v>
      </c>
      <c r="X21" s="9">
        <f>U21-W21</f>
        <v/>
      </c>
      <c r="Y21" s="10" t="n"/>
      <c r="Z21" s="9" t="n">
        <v>0</v>
      </c>
      <c r="AA21" s="9">
        <f>X21-Z21</f>
        <v/>
      </c>
      <c r="AB21" s="10" t="n"/>
      <c r="AC21" s="9" t="n">
        <v>0</v>
      </c>
      <c r="AD21" s="9">
        <f>AA21-AC21</f>
        <v/>
      </c>
      <c r="AE21" s="10" t="n"/>
      <c r="AF21" s="9" t="n">
        <v>4</v>
      </c>
      <c r="AG21" s="9">
        <f>AD21-AF21</f>
        <v/>
      </c>
      <c r="AH21" s="10" t="n"/>
      <c r="AI21" s="9" t="n">
        <v>0</v>
      </c>
      <c r="AJ21" s="9">
        <f>AG21-AI21</f>
        <v/>
      </c>
      <c r="AK21" s="10" t="n"/>
      <c r="AL21" s="9" t="n"/>
      <c r="AM21" s="9">
        <f>AJ21-AL21</f>
        <v/>
      </c>
      <c r="AN21" s="10" t="n"/>
      <c r="AO21" s="9" t="n"/>
      <c r="AP21" s="9">
        <f>AM21-AO21</f>
        <v/>
      </c>
      <c r="AQ21" s="10" t="n"/>
      <c r="AR21" s="9" t="n"/>
      <c r="AS21" s="9">
        <f>AP21-AR21</f>
        <v/>
      </c>
      <c r="AT21" s="10" t="n"/>
      <c r="AU21" s="9" t="n"/>
      <c r="AV21" s="9">
        <f>AS21-AU21</f>
        <v/>
      </c>
      <c r="AW21" s="10" t="n"/>
      <c r="AX21" s="9" t="n"/>
      <c r="AY21" s="9">
        <f>AV21-AX21</f>
        <v/>
      </c>
      <c r="AZ21" s="10" t="n"/>
      <c r="BA21" s="9" t="n"/>
      <c r="BB21" s="9">
        <f>AY21-BA21</f>
        <v/>
      </c>
      <c r="BC21" s="10" t="n"/>
      <c r="BD21" s="9" t="n"/>
      <c r="BE21" s="9">
        <f>BB21-BD21</f>
        <v/>
      </c>
      <c r="BF21" s="10" t="n"/>
      <c r="BG21" s="9" t="n"/>
      <c r="BH21" s="9">
        <f>BE21-BG21</f>
        <v/>
      </c>
      <c r="BI21" s="10" t="n"/>
      <c r="BJ21" s="9" t="n"/>
      <c r="BK21" s="9">
        <f>BH21-BJ21</f>
        <v/>
      </c>
      <c r="BL21" s="10" t="n"/>
      <c r="BM21" s="9" t="n"/>
      <c r="BN21" s="9">
        <f>BK21-BM21</f>
        <v/>
      </c>
      <c r="BO21" s="10" t="n"/>
      <c r="BP21" s="11">
        <f>H21+K21+N21+Q21+T21+W21+Z21+AC21+AF21+AI21+AL21+AO21+AR21+AU21+AX21+BA21+BD21+BG21+BJ21+BM21</f>
        <v/>
      </c>
      <c r="BQ21" s="11">
        <f>G21-BP21</f>
        <v/>
      </c>
    </row>
    <row r="22" ht="30" customHeight="1">
      <c r="B22" s="8" t="inlineStr">
        <is>
          <t>E3-H1 (HU-06)</t>
        </is>
      </c>
      <c r="C22" s="14" t="inlineStr">
        <is>
          <t>Generación de orden de compra</t>
        </is>
      </c>
      <c r="D22" s="14" t="inlineStr">
        <is>
          <t>Generación de la OC desde la cotización aceptada (RN-06)</t>
        </is>
      </c>
      <c r="E22" s="8" t="inlineStr">
        <is>
          <t>Benjamín</t>
        </is>
      </c>
      <c r="F22" s="8" t="inlineStr">
        <is>
          <t>Hecho</t>
        </is>
      </c>
      <c r="G22" s="8" t="n">
        <v>5</v>
      </c>
      <c r="H22" s="9" t="n">
        <v>0</v>
      </c>
      <c r="I22" s="9">
        <f>G22-H22</f>
        <v/>
      </c>
      <c r="J22" s="10" t="n"/>
      <c r="K22" s="9" t="n">
        <v>0</v>
      </c>
      <c r="L22" s="9">
        <f>I22-K22</f>
        <v/>
      </c>
      <c r="M22" s="10" t="n"/>
      <c r="N22" s="9" t="n">
        <v>0</v>
      </c>
      <c r="O22" s="9">
        <f>L22-N22</f>
        <v/>
      </c>
      <c r="P22" s="10" t="n"/>
      <c r="Q22" s="9" t="n">
        <v>0</v>
      </c>
      <c r="R22" s="9">
        <f>O22-Q22</f>
        <v/>
      </c>
      <c r="S22" s="10" t="n"/>
      <c r="T22" s="9" t="n">
        <v>0</v>
      </c>
      <c r="U22" s="9">
        <f>R22-T22</f>
        <v/>
      </c>
      <c r="V22" s="10" t="n"/>
      <c r="W22" s="9" t="n">
        <v>0</v>
      </c>
      <c r="X22" s="9">
        <f>U22-W22</f>
        <v/>
      </c>
      <c r="Y22" s="10" t="n"/>
      <c r="Z22" s="9" t="n">
        <v>0</v>
      </c>
      <c r="AA22" s="9">
        <f>X22-Z22</f>
        <v/>
      </c>
      <c r="AB22" s="10" t="n"/>
      <c r="AC22" s="9" t="n">
        <v>0</v>
      </c>
      <c r="AD22" s="9">
        <f>AA22-AC22</f>
        <v/>
      </c>
      <c r="AE22" s="10" t="n"/>
      <c r="AF22" s="9" t="n">
        <v>5</v>
      </c>
      <c r="AG22" s="9">
        <f>AD22-AF22</f>
        <v/>
      </c>
      <c r="AH22" s="10" t="n"/>
      <c r="AI22" s="9" t="n">
        <v>0</v>
      </c>
      <c r="AJ22" s="9">
        <f>AG22-AI22</f>
        <v/>
      </c>
      <c r="AK22" s="10" t="n"/>
      <c r="AL22" s="9" t="n"/>
      <c r="AM22" s="9">
        <f>AJ22-AL22</f>
        <v/>
      </c>
      <c r="AN22" s="10" t="n"/>
      <c r="AO22" s="9" t="n"/>
      <c r="AP22" s="9">
        <f>AM22-AO22</f>
        <v/>
      </c>
      <c r="AQ22" s="10" t="n"/>
      <c r="AR22" s="9" t="n"/>
      <c r="AS22" s="9">
        <f>AP22-AR22</f>
        <v/>
      </c>
      <c r="AT22" s="10" t="n"/>
      <c r="AU22" s="9" t="n"/>
      <c r="AV22" s="9">
        <f>AS22-AU22</f>
        <v/>
      </c>
      <c r="AW22" s="10" t="n"/>
      <c r="AX22" s="9" t="n"/>
      <c r="AY22" s="9">
        <f>AV22-AX22</f>
        <v/>
      </c>
      <c r="AZ22" s="10" t="n"/>
      <c r="BA22" s="9" t="n"/>
      <c r="BB22" s="9">
        <f>AY22-BA22</f>
        <v/>
      </c>
      <c r="BC22" s="10" t="n"/>
      <c r="BD22" s="9" t="n"/>
      <c r="BE22" s="9">
        <f>BB22-BD22</f>
        <v/>
      </c>
      <c r="BF22" s="10" t="n"/>
      <c r="BG22" s="9" t="n"/>
      <c r="BH22" s="9">
        <f>BE22-BG22</f>
        <v/>
      </c>
      <c r="BI22" s="10" t="n"/>
      <c r="BJ22" s="9" t="n"/>
      <c r="BK22" s="9">
        <f>BH22-BJ22</f>
        <v/>
      </c>
      <c r="BL22" s="10" t="n"/>
      <c r="BM22" s="9" t="n"/>
      <c r="BN22" s="9">
        <f>BK22-BM22</f>
        <v/>
      </c>
      <c r="BO22" s="10" t="n"/>
      <c r="BP22" s="11">
        <f>H22+K22+N22+Q22+T22+W22+Z22+AC22+AF22+AI22+AL22+AO22+AR22+AU22+AX22+BA22+BD22+BG22+BJ22+BM22</f>
        <v/>
      </c>
      <c r="BQ22" s="11">
        <f>G22-BP22</f>
        <v/>
      </c>
    </row>
    <row r="23" ht="30" customHeight="1">
      <c r="B23" s="8" t="inlineStr">
        <is>
          <t>E3-H1 (HU-06)</t>
        </is>
      </c>
      <c r="C23" s="14" t="inlineStr">
        <is>
          <t>Generación de orden de compra</t>
        </is>
      </c>
      <c r="D23" s="14" t="inlineStr">
        <is>
          <t>Vista de órdenes de compra en web y escritorio</t>
        </is>
      </c>
      <c r="E23" s="8" t="inlineStr">
        <is>
          <t>Benjamín</t>
        </is>
      </c>
      <c r="F23" s="8" t="inlineStr">
        <is>
          <t>Hecho</t>
        </is>
      </c>
      <c r="G23" s="8" t="n">
        <v>4</v>
      </c>
      <c r="H23" s="9" t="n">
        <v>0</v>
      </c>
      <c r="I23" s="9">
        <f>G23-H23</f>
        <v/>
      </c>
      <c r="J23" s="10" t="n"/>
      <c r="K23" s="9" t="n">
        <v>0</v>
      </c>
      <c r="L23" s="9">
        <f>I23-K23</f>
        <v/>
      </c>
      <c r="M23" s="10" t="n"/>
      <c r="N23" s="9" t="n">
        <v>0</v>
      </c>
      <c r="O23" s="9">
        <f>L23-N23</f>
        <v/>
      </c>
      <c r="P23" s="10" t="n"/>
      <c r="Q23" s="9" t="n">
        <v>0</v>
      </c>
      <c r="R23" s="9">
        <f>O23-Q23</f>
        <v/>
      </c>
      <c r="S23" s="10" t="n"/>
      <c r="T23" s="9" t="n">
        <v>0</v>
      </c>
      <c r="U23" s="9">
        <f>R23-T23</f>
        <v/>
      </c>
      <c r="V23" s="10" t="n"/>
      <c r="W23" s="9" t="n">
        <v>0</v>
      </c>
      <c r="X23" s="9">
        <f>U23-W23</f>
        <v/>
      </c>
      <c r="Y23" s="10" t="n"/>
      <c r="Z23" s="9" t="n">
        <v>0</v>
      </c>
      <c r="AA23" s="9">
        <f>X23-Z23</f>
        <v/>
      </c>
      <c r="AB23" s="10" t="n"/>
      <c r="AC23" s="9" t="n">
        <v>0</v>
      </c>
      <c r="AD23" s="9">
        <f>AA23-AC23</f>
        <v/>
      </c>
      <c r="AE23" s="10" t="n"/>
      <c r="AF23" s="9" t="n">
        <v>4</v>
      </c>
      <c r="AG23" s="9">
        <f>AD23-AF23</f>
        <v/>
      </c>
      <c r="AH23" s="10" t="n"/>
      <c r="AI23" s="9" t="n">
        <v>0</v>
      </c>
      <c r="AJ23" s="9">
        <f>AG23-AI23</f>
        <v/>
      </c>
      <c r="AK23" s="10" t="n"/>
      <c r="AL23" s="9" t="n"/>
      <c r="AM23" s="9">
        <f>AJ23-AL23</f>
        <v/>
      </c>
      <c r="AN23" s="10" t="n"/>
      <c r="AO23" s="9" t="n"/>
      <c r="AP23" s="9">
        <f>AM23-AO23</f>
        <v/>
      </c>
      <c r="AQ23" s="10" t="n"/>
      <c r="AR23" s="9" t="n"/>
      <c r="AS23" s="9">
        <f>AP23-AR23</f>
        <v/>
      </c>
      <c r="AT23" s="10" t="n"/>
      <c r="AU23" s="9" t="n"/>
      <c r="AV23" s="9">
        <f>AS23-AU23</f>
        <v/>
      </c>
      <c r="AW23" s="10" t="n"/>
      <c r="AX23" s="9" t="n"/>
      <c r="AY23" s="9">
        <f>AV23-AX23</f>
        <v/>
      </c>
      <c r="AZ23" s="10" t="n"/>
      <c r="BA23" s="9" t="n"/>
      <c r="BB23" s="9">
        <f>AY23-BA23</f>
        <v/>
      </c>
      <c r="BC23" s="10" t="n"/>
      <c r="BD23" s="9" t="n"/>
      <c r="BE23" s="9">
        <f>BB23-BD23</f>
        <v/>
      </c>
      <c r="BF23" s="10" t="n"/>
      <c r="BG23" s="9" t="n"/>
      <c r="BH23" s="9">
        <f>BE23-BG23</f>
        <v/>
      </c>
      <c r="BI23" s="10" t="n"/>
      <c r="BJ23" s="9" t="n"/>
      <c r="BK23" s="9">
        <f>BH23-BJ23</f>
        <v/>
      </c>
      <c r="BL23" s="10" t="n"/>
      <c r="BM23" s="9" t="n"/>
      <c r="BN23" s="9">
        <f>BK23-BM23</f>
        <v/>
      </c>
      <c r="BO23" s="10" t="n"/>
      <c r="BP23" s="11">
        <f>H23+K23+N23+Q23+T23+W23+Z23+AC23+AF23+AI23+AL23+AO23+AR23+AU23+AX23+BA23+BD23+BG23+BJ23+BM23</f>
        <v/>
      </c>
      <c r="BQ23" s="11">
        <f>G23-BP23</f>
        <v/>
      </c>
    </row>
    <row r="24" ht="30" customHeight="1">
      <c r="B24" s="8" t="inlineStr">
        <is>
          <t>E4-H1 (HU-07)</t>
        </is>
      </c>
      <c r="C24" s="14" t="inlineStr">
        <is>
          <t>Creación de orden de trabajo</t>
        </is>
      </c>
      <c r="D24" s="14" t="inlineStr">
        <is>
          <t>Modelo de orden de trabajo, tareas y responsables</t>
        </is>
      </c>
      <c r="E24" s="8" t="inlineStr">
        <is>
          <t>Benjamín</t>
        </is>
      </c>
      <c r="F24" s="8" t="inlineStr">
        <is>
          <t>Hecho</t>
        </is>
      </c>
      <c r="G24" s="8" t="n">
        <v>7</v>
      </c>
      <c r="H24" s="9" t="n">
        <v>0</v>
      </c>
      <c r="I24" s="9">
        <f>G24-H24</f>
        <v/>
      </c>
      <c r="J24" s="10" t="n"/>
      <c r="K24" s="9" t="n">
        <v>0</v>
      </c>
      <c r="L24" s="9">
        <f>I24-K24</f>
        <v/>
      </c>
      <c r="M24" s="10" t="n"/>
      <c r="N24" s="9" t="n">
        <v>0</v>
      </c>
      <c r="O24" s="9">
        <f>L24-N24</f>
        <v/>
      </c>
      <c r="P24" s="10" t="n"/>
      <c r="Q24" s="9" t="n">
        <v>0</v>
      </c>
      <c r="R24" s="9">
        <f>O24-Q24</f>
        <v/>
      </c>
      <c r="S24" s="10" t="n"/>
      <c r="T24" s="9" t="n">
        <v>0</v>
      </c>
      <c r="U24" s="9">
        <f>R24-T24</f>
        <v/>
      </c>
      <c r="V24" s="10" t="n"/>
      <c r="W24" s="9" t="n">
        <v>0</v>
      </c>
      <c r="X24" s="9">
        <f>U24-W24</f>
        <v/>
      </c>
      <c r="Y24" s="10" t="n"/>
      <c r="Z24" s="9" t="n">
        <v>0</v>
      </c>
      <c r="AA24" s="9">
        <f>X24-Z24</f>
        <v/>
      </c>
      <c r="AB24" s="10" t="n"/>
      <c r="AC24" s="9" t="n">
        <v>0</v>
      </c>
      <c r="AD24" s="9">
        <f>AA24-AC24</f>
        <v/>
      </c>
      <c r="AE24" s="10" t="n"/>
      <c r="AF24" s="9" t="n">
        <v>7</v>
      </c>
      <c r="AG24" s="9">
        <f>AD24-AF24</f>
        <v/>
      </c>
      <c r="AH24" s="10" t="n"/>
      <c r="AI24" s="9" t="n">
        <v>0</v>
      </c>
      <c r="AJ24" s="9">
        <f>AG24-AI24</f>
        <v/>
      </c>
      <c r="AK24" s="10" t="n"/>
      <c r="AL24" s="9" t="n"/>
      <c r="AM24" s="9">
        <f>AJ24-AL24</f>
        <v/>
      </c>
      <c r="AN24" s="10" t="n"/>
      <c r="AO24" s="9" t="n"/>
      <c r="AP24" s="9">
        <f>AM24-AO24</f>
        <v/>
      </c>
      <c r="AQ24" s="10" t="n"/>
      <c r="AR24" s="9" t="n"/>
      <c r="AS24" s="9">
        <f>AP24-AR24</f>
        <v/>
      </c>
      <c r="AT24" s="10" t="n"/>
      <c r="AU24" s="9" t="n"/>
      <c r="AV24" s="9">
        <f>AS24-AU24</f>
        <v/>
      </c>
      <c r="AW24" s="10" t="n"/>
      <c r="AX24" s="9" t="n"/>
      <c r="AY24" s="9">
        <f>AV24-AX24</f>
        <v/>
      </c>
      <c r="AZ24" s="10" t="n"/>
      <c r="BA24" s="9" t="n"/>
      <c r="BB24" s="9">
        <f>AY24-BA24</f>
        <v/>
      </c>
      <c r="BC24" s="10" t="n"/>
      <c r="BD24" s="9" t="n"/>
      <c r="BE24" s="9">
        <f>BB24-BD24</f>
        <v/>
      </c>
      <c r="BF24" s="10" t="n"/>
      <c r="BG24" s="9" t="n"/>
      <c r="BH24" s="9">
        <f>BE24-BG24</f>
        <v/>
      </c>
      <c r="BI24" s="10" t="n"/>
      <c r="BJ24" s="9" t="n"/>
      <c r="BK24" s="9">
        <f>BH24-BJ24</f>
        <v/>
      </c>
      <c r="BL24" s="10" t="n"/>
      <c r="BM24" s="9" t="n"/>
      <c r="BN24" s="9">
        <f>BK24-BM24</f>
        <v/>
      </c>
      <c r="BO24" s="10" t="n"/>
      <c r="BP24" s="11">
        <f>H24+K24+N24+Q24+T24+W24+Z24+AC24+AF24+AI24+AL24+AO24+AR24+AU24+AX24+BA24+BD24+BG24+BJ24+BM24</f>
        <v/>
      </c>
      <c r="BQ24" s="11">
        <f>G24-BP24</f>
        <v/>
      </c>
    </row>
    <row r="25" ht="30" customHeight="1">
      <c r="B25" s="8" t="inlineStr">
        <is>
          <t>E4-H1 (HU-07)</t>
        </is>
      </c>
      <c r="C25" s="14" t="inlineStr">
        <is>
          <t>Creación de orden de trabajo</t>
        </is>
      </c>
      <c r="D25" s="14" t="inlineStr">
        <is>
          <t>Endpoint API de órdenes de trabajo</t>
        </is>
      </c>
      <c r="E25" s="8" t="inlineStr">
        <is>
          <t>Benjamín</t>
        </is>
      </c>
      <c r="F25" s="8" t="inlineStr">
        <is>
          <t>Hecho</t>
        </is>
      </c>
      <c r="G25" s="8" t="n">
        <v>7</v>
      </c>
      <c r="H25" s="9" t="n">
        <v>0</v>
      </c>
      <c r="I25" s="9">
        <f>G25-H25</f>
        <v/>
      </c>
      <c r="J25" s="10" t="n"/>
      <c r="K25" s="9" t="n">
        <v>0</v>
      </c>
      <c r="L25" s="9">
        <f>I25-K25</f>
        <v/>
      </c>
      <c r="M25" s="10" t="n"/>
      <c r="N25" s="9" t="n">
        <v>0</v>
      </c>
      <c r="O25" s="9">
        <f>L25-N25</f>
        <v/>
      </c>
      <c r="P25" s="10" t="n"/>
      <c r="Q25" s="9" t="n">
        <v>0</v>
      </c>
      <c r="R25" s="9">
        <f>O25-Q25</f>
        <v/>
      </c>
      <c r="S25" s="10" t="n"/>
      <c r="T25" s="9" t="n">
        <v>0</v>
      </c>
      <c r="U25" s="9">
        <f>R25-T25</f>
        <v/>
      </c>
      <c r="V25" s="10" t="n"/>
      <c r="W25" s="9" t="n">
        <v>0</v>
      </c>
      <c r="X25" s="9">
        <f>U25-W25</f>
        <v/>
      </c>
      <c r="Y25" s="10" t="n"/>
      <c r="Z25" s="9" t="n">
        <v>0</v>
      </c>
      <c r="AA25" s="9">
        <f>X25-Z25</f>
        <v/>
      </c>
      <c r="AB25" s="10" t="n"/>
      <c r="AC25" s="9" t="n">
        <v>0</v>
      </c>
      <c r="AD25" s="9">
        <f>AA25-AC25</f>
        <v/>
      </c>
      <c r="AE25" s="10" t="n"/>
      <c r="AF25" s="9" t="n">
        <v>7</v>
      </c>
      <c r="AG25" s="9">
        <f>AD25-AF25</f>
        <v/>
      </c>
      <c r="AH25" s="10" t="n"/>
      <c r="AI25" s="9" t="n">
        <v>0</v>
      </c>
      <c r="AJ25" s="9">
        <f>AG25-AI25</f>
        <v/>
      </c>
      <c r="AK25" s="10" t="n"/>
      <c r="AL25" s="9" t="n"/>
      <c r="AM25" s="9">
        <f>AJ25-AL25</f>
        <v/>
      </c>
      <c r="AN25" s="10" t="n"/>
      <c r="AO25" s="9" t="n"/>
      <c r="AP25" s="9">
        <f>AM25-AO25</f>
        <v/>
      </c>
      <c r="AQ25" s="10" t="n"/>
      <c r="AR25" s="9" t="n"/>
      <c r="AS25" s="9">
        <f>AP25-AR25</f>
        <v/>
      </c>
      <c r="AT25" s="10" t="n"/>
      <c r="AU25" s="9" t="n"/>
      <c r="AV25" s="9">
        <f>AS25-AU25</f>
        <v/>
      </c>
      <c r="AW25" s="10" t="n"/>
      <c r="AX25" s="9" t="n"/>
      <c r="AY25" s="9">
        <f>AV25-AX25</f>
        <v/>
      </c>
      <c r="AZ25" s="10" t="n"/>
      <c r="BA25" s="9" t="n"/>
      <c r="BB25" s="9">
        <f>AY25-BA25</f>
        <v/>
      </c>
      <c r="BC25" s="10" t="n"/>
      <c r="BD25" s="9" t="n"/>
      <c r="BE25" s="9">
        <f>BB25-BD25</f>
        <v/>
      </c>
      <c r="BF25" s="10" t="n"/>
      <c r="BG25" s="9" t="n"/>
      <c r="BH25" s="9">
        <f>BE25-BG25</f>
        <v/>
      </c>
      <c r="BI25" s="10" t="n"/>
      <c r="BJ25" s="9" t="n"/>
      <c r="BK25" s="9">
        <f>BH25-BJ25</f>
        <v/>
      </c>
      <c r="BL25" s="10" t="n"/>
      <c r="BM25" s="9" t="n"/>
      <c r="BN25" s="9">
        <f>BK25-BM25</f>
        <v/>
      </c>
      <c r="BO25" s="10" t="n"/>
      <c r="BP25" s="11">
        <f>H25+K25+N25+Q25+T25+W25+Z25+AC25+AF25+AI25+AL25+AO25+AR25+AU25+AX25+BA25+BD25+BG25+BJ25+BM25</f>
        <v/>
      </c>
      <c r="BQ25" s="11">
        <f>G25-BP25</f>
        <v/>
      </c>
    </row>
    <row r="26" ht="30" customHeight="1">
      <c r="B26" s="8" t="inlineStr">
        <is>
          <t>E4-H1 (HU-07)</t>
        </is>
      </c>
      <c r="C26" s="14" t="inlineStr">
        <is>
          <t>Creación de orden de trabajo</t>
        </is>
      </c>
      <c r="D26" s="14" t="inlineStr">
        <is>
          <t>Vista de producción en el escritorio</t>
        </is>
      </c>
      <c r="E26" s="8" t="inlineStr">
        <is>
          <t>Benjamín</t>
        </is>
      </c>
      <c r="F26" s="8" t="inlineStr">
        <is>
          <t>Hecho</t>
        </is>
      </c>
      <c r="G26" s="8" t="n">
        <v>8</v>
      </c>
      <c r="H26" s="9" t="n">
        <v>0</v>
      </c>
      <c r="I26" s="9">
        <f>G26-H26</f>
        <v/>
      </c>
      <c r="J26" s="10" t="n"/>
      <c r="K26" s="9" t="n">
        <v>0</v>
      </c>
      <c r="L26" s="9">
        <f>I26-K26</f>
        <v/>
      </c>
      <c r="M26" s="10" t="n"/>
      <c r="N26" s="9" t="n">
        <v>0</v>
      </c>
      <c r="O26" s="9">
        <f>L26-N26</f>
        <v/>
      </c>
      <c r="P26" s="10" t="n"/>
      <c r="Q26" s="9" t="n">
        <v>0</v>
      </c>
      <c r="R26" s="9">
        <f>O26-Q26</f>
        <v/>
      </c>
      <c r="S26" s="10" t="n"/>
      <c r="T26" s="9" t="n">
        <v>0</v>
      </c>
      <c r="U26" s="9">
        <f>R26-T26</f>
        <v/>
      </c>
      <c r="V26" s="10" t="n"/>
      <c r="W26" s="9" t="n">
        <v>0</v>
      </c>
      <c r="X26" s="9">
        <f>U26-W26</f>
        <v/>
      </c>
      <c r="Y26" s="10" t="n"/>
      <c r="Z26" s="9" t="n">
        <v>0</v>
      </c>
      <c r="AA26" s="9">
        <f>X26-Z26</f>
        <v/>
      </c>
      <c r="AB26" s="10" t="n"/>
      <c r="AC26" s="9" t="n">
        <v>0</v>
      </c>
      <c r="AD26" s="9">
        <f>AA26-AC26</f>
        <v/>
      </c>
      <c r="AE26" s="10" t="n"/>
      <c r="AF26" s="9" t="n">
        <v>8</v>
      </c>
      <c r="AG26" s="9">
        <f>AD26-AF26</f>
        <v/>
      </c>
      <c r="AH26" s="10" t="n"/>
      <c r="AI26" s="9" t="n">
        <v>0</v>
      </c>
      <c r="AJ26" s="9">
        <f>AG26-AI26</f>
        <v/>
      </c>
      <c r="AK26" s="10" t="n"/>
      <c r="AL26" s="9" t="n"/>
      <c r="AM26" s="9">
        <f>AJ26-AL26</f>
        <v/>
      </c>
      <c r="AN26" s="10" t="n"/>
      <c r="AO26" s="9" t="n"/>
      <c r="AP26" s="9">
        <f>AM26-AO26</f>
        <v/>
      </c>
      <c r="AQ26" s="10" t="n"/>
      <c r="AR26" s="9" t="n"/>
      <c r="AS26" s="9">
        <f>AP26-AR26</f>
        <v/>
      </c>
      <c r="AT26" s="10" t="n"/>
      <c r="AU26" s="9" t="n"/>
      <c r="AV26" s="9">
        <f>AS26-AU26</f>
        <v/>
      </c>
      <c r="AW26" s="10" t="n"/>
      <c r="AX26" s="9" t="n"/>
      <c r="AY26" s="9">
        <f>AV26-AX26</f>
        <v/>
      </c>
      <c r="AZ26" s="10" t="n"/>
      <c r="BA26" s="9" t="n"/>
      <c r="BB26" s="9">
        <f>AY26-BA26</f>
        <v/>
      </c>
      <c r="BC26" s="10" t="n"/>
      <c r="BD26" s="9" t="n"/>
      <c r="BE26" s="9">
        <f>BB26-BD26</f>
        <v/>
      </c>
      <c r="BF26" s="10" t="n"/>
      <c r="BG26" s="9" t="n"/>
      <c r="BH26" s="9">
        <f>BE26-BG26</f>
        <v/>
      </c>
      <c r="BI26" s="10" t="n"/>
      <c r="BJ26" s="9" t="n"/>
      <c r="BK26" s="9">
        <f>BH26-BJ26</f>
        <v/>
      </c>
      <c r="BL26" s="10" t="n"/>
      <c r="BM26" s="9" t="n"/>
      <c r="BN26" s="9">
        <f>BK26-BM26</f>
        <v/>
      </c>
      <c r="BO26" s="10" t="n"/>
      <c r="BP26" s="11">
        <f>H26+K26+N26+Q26+T26+W26+Z26+AC26+AF26+AI26+AL26+AO26+AR26+AU26+AX26+BA26+BD26+BG26+BJ26+BM26</f>
        <v/>
      </c>
      <c r="BQ26" s="11">
        <f>G26-BP26</f>
        <v/>
      </c>
    </row>
    <row r="27" ht="30" customHeight="1">
      <c r="B27" s="8" t="inlineStr">
        <is>
          <t>E4-H2 (HU-08)</t>
        </is>
      </c>
      <c r="C27" s="14" t="inlineStr">
        <is>
          <t>Registro de materiales y horas hombre</t>
        </is>
      </c>
      <c r="D27" s="14" t="inlineStr">
        <is>
          <t>Modelo de consumo de material y horas hombre</t>
        </is>
      </c>
      <c r="E27" s="8" t="inlineStr">
        <is>
          <t>Benjamín</t>
        </is>
      </c>
      <c r="F27" s="8" t="inlineStr">
        <is>
          <t>Hecho</t>
        </is>
      </c>
      <c r="G27" s="8" t="n">
        <v>7</v>
      </c>
      <c r="H27" s="9" t="n">
        <v>0</v>
      </c>
      <c r="I27" s="9">
        <f>G27-H27</f>
        <v/>
      </c>
      <c r="J27" s="10" t="n"/>
      <c r="K27" s="9" t="n">
        <v>0</v>
      </c>
      <c r="L27" s="9">
        <f>I27-K27</f>
        <v/>
      </c>
      <c r="M27" s="10" t="n"/>
      <c r="N27" s="9" t="n">
        <v>0</v>
      </c>
      <c r="O27" s="9">
        <f>L27-N27</f>
        <v/>
      </c>
      <c r="P27" s="10" t="n"/>
      <c r="Q27" s="9" t="n">
        <v>0</v>
      </c>
      <c r="R27" s="9">
        <f>O27-Q27</f>
        <v/>
      </c>
      <c r="S27" s="10" t="n"/>
      <c r="T27" s="9" t="n">
        <v>0</v>
      </c>
      <c r="U27" s="9">
        <f>R27-T27</f>
        <v/>
      </c>
      <c r="V27" s="10" t="n"/>
      <c r="W27" s="9" t="n">
        <v>0</v>
      </c>
      <c r="X27" s="9">
        <f>U27-W27</f>
        <v/>
      </c>
      <c r="Y27" s="10" t="n"/>
      <c r="Z27" s="9" t="n">
        <v>0</v>
      </c>
      <c r="AA27" s="9">
        <f>X27-Z27</f>
        <v/>
      </c>
      <c r="AB27" s="10" t="n"/>
      <c r="AC27" s="9" t="n">
        <v>0</v>
      </c>
      <c r="AD27" s="9">
        <f>AA27-AC27</f>
        <v/>
      </c>
      <c r="AE27" s="10" t="n"/>
      <c r="AF27" s="9" t="n">
        <v>7</v>
      </c>
      <c r="AG27" s="9">
        <f>AD27-AF27</f>
        <v/>
      </c>
      <c r="AH27" s="10" t="n"/>
      <c r="AI27" s="9" t="n">
        <v>0</v>
      </c>
      <c r="AJ27" s="9">
        <f>AG27-AI27</f>
        <v/>
      </c>
      <c r="AK27" s="10" t="n"/>
      <c r="AL27" s="9" t="n"/>
      <c r="AM27" s="9">
        <f>AJ27-AL27</f>
        <v/>
      </c>
      <c r="AN27" s="10" t="n"/>
      <c r="AO27" s="9" t="n"/>
      <c r="AP27" s="9">
        <f>AM27-AO27</f>
        <v/>
      </c>
      <c r="AQ27" s="10" t="n"/>
      <c r="AR27" s="9" t="n"/>
      <c r="AS27" s="9">
        <f>AP27-AR27</f>
        <v/>
      </c>
      <c r="AT27" s="10" t="n"/>
      <c r="AU27" s="9" t="n"/>
      <c r="AV27" s="9">
        <f>AS27-AU27</f>
        <v/>
      </c>
      <c r="AW27" s="10" t="n"/>
      <c r="AX27" s="9" t="n"/>
      <c r="AY27" s="9">
        <f>AV27-AX27</f>
        <v/>
      </c>
      <c r="AZ27" s="10" t="n"/>
      <c r="BA27" s="9" t="n"/>
      <c r="BB27" s="9">
        <f>AY27-BA27</f>
        <v/>
      </c>
      <c r="BC27" s="10" t="n"/>
      <c r="BD27" s="9" t="n"/>
      <c r="BE27" s="9">
        <f>BB27-BD27</f>
        <v/>
      </c>
      <c r="BF27" s="10" t="n"/>
      <c r="BG27" s="9" t="n"/>
      <c r="BH27" s="9">
        <f>BE27-BG27</f>
        <v/>
      </c>
      <c r="BI27" s="10" t="n"/>
      <c r="BJ27" s="9" t="n"/>
      <c r="BK27" s="9">
        <f>BH27-BJ27</f>
        <v/>
      </c>
      <c r="BL27" s="10" t="n"/>
      <c r="BM27" s="9" t="n"/>
      <c r="BN27" s="9">
        <f>BK27-BM27</f>
        <v/>
      </c>
      <c r="BO27" s="10" t="n"/>
      <c r="BP27" s="11">
        <f>H27+K27+N27+Q27+T27+W27+Z27+AC27+AF27+AI27+AL27+AO27+AR27+AU27+AX27+BA27+BD27+BG27+BJ27+BM27</f>
        <v/>
      </c>
      <c r="BQ27" s="11">
        <f>G27-BP27</f>
        <v/>
      </c>
    </row>
    <row r="28" ht="30" customHeight="1">
      <c r="B28" s="8" t="inlineStr">
        <is>
          <t>E4-H2 (HU-08)</t>
        </is>
      </c>
      <c r="C28" s="14" t="inlineStr">
        <is>
          <t>Registro de materiales y horas hombre</t>
        </is>
      </c>
      <c r="D28" s="14" t="inlineStr">
        <is>
          <t>Vista de taller para el operario</t>
        </is>
      </c>
      <c r="E28" s="8" t="inlineStr">
        <is>
          <t>Benjamín</t>
        </is>
      </c>
      <c r="F28" s="8" t="inlineStr">
        <is>
          <t>Hecho</t>
        </is>
      </c>
      <c r="G28" s="8" t="n">
        <v>8</v>
      </c>
      <c r="H28" s="9" t="n">
        <v>0</v>
      </c>
      <c r="I28" s="9">
        <f>G28-H28</f>
        <v/>
      </c>
      <c r="J28" s="10" t="n"/>
      <c r="K28" s="9" t="n">
        <v>0</v>
      </c>
      <c r="L28" s="9">
        <f>I28-K28</f>
        <v/>
      </c>
      <c r="M28" s="10" t="n"/>
      <c r="N28" s="9" t="n">
        <v>0</v>
      </c>
      <c r="O28" s="9">
        <f>L28-N28</f>
        <v/>
      </c>
      <c r="P28" s="10" t="n"/>
      <c r="Q28" s="9" t="n">
        <v>0</v>
      </c>
      <c r="R28" s="9">
        <f>O28-Q28</f>
        <v/>
      </c>
      <c r="S28" s="10" t="n"/>
      <c r="T28" s="9" t="n">
        <v>0</v>
      </c>
      <c r="U28" s="9">
        <f>R28-T28</f>
        <v/>
      </c>
      <c r="V28" s="10" t="n"/>
      <c r="W28" s="9" t="n">
        <v>0</v>
      </c>
      <c r="X28" s="9">
        <f>U28-W28</f>
        <v/>
      </c>
      <c r="Y28" s="10" t="n"/>
      <c r="Z28" s="9" t="n">
        <v>0</v>
      </c>
      <c r="AA28" s="9">
        <f>X28-Z28</f>
        <v/>
      </c>
      <c r="AB28" s="10" t="n"/>
      <c r="AC28" s="9" t="n">
        <v>0</v>
      </c>
      <c r="AD28" s="9">
        <f>AA28-AC28</f>
        <v/>
      </c>
      <c r="AE28" s="10" t="n"/>
      <c r="AF28" s="9" t="n">
        <v>8</v>
      </c>
      <c r="AG28" s="9">
        <f>AD28-AF28</f>
        <v/>
      </c>
      <c r="AH28" s="10" t="n"/>
      <c r="AI28" s="9" t="n">
        <v>0</v>
      </c>
      <c r="AJ28" s="9">
        <f>AG28-AI28</f>
        <v/>
      </c>
      <c r="AK28" s="10" t="n"/>
      <c r="AL28" s="9" t="n"/>
      <c r="AM28" s="9">
        <f>AJ28-AL28</f>
        <v/>
      </c>
      <c r="AN28" s="10" t="n"/>
      <c r="AO28" s="9" t="n"/>
      <c r="AP28" s="9">
        <f>AM28-AO28</f>
        <v/>
      </c>
      <c r="AQ28" s="10" t="n"/>
      <c r="AR28" s="9" t="n"/>
      <c r="AS28" s="9">
        <f>AP28-AR28</f>
        <v/>
      </c>
      <c r="AT28" s="10" t="n"/>
      <c r="AU28" s="9" t="n"/>
      <c r="AV28" s="9">
        <f>AS28-AU28</f>
        <v/>
      </c>
      <c r="AW28" s="10" t="n"/>
      <c r="AX28" s="9" t="n"/>
      <c r="AY28" s="9">
        <f>AV28-AX28</f>
        <v/>
      </c>
      <c r="AZ28" s="10" t="n"/>
      <c r="BA28" s="9" t="n"/>
      <c r="BB28" s="9">
        <f>AY28-BA28</f>
        <v/>
      </c>
      <c r="BC28" s="10" t="n"/>
      <c r="BD28" s="9" t="n"/>
      <c r="BE28" s="9">
        <f>BB28-BD28</f>
        <v/>
      </c>
      <c r="BF28" s="10" t="n"/>
      <c r="BG28" s="9" t="n"/>
      <c r="BH28" s="9">
        <f>BE28-BG28</f>
        <v/>
      </c>
      <c r="BI28" s="10" t="n"/>
      <c r="BJ28" s="9" t="n"/>
      <c r="BK28" s="9">
        <f>BH28-BJ28</f>
        <v/>
      </c>
      <c r="BL28" s="10" t="n"/>
      <c r="BM28" s="9" t="n"/>
      <c r="BN28" s="9">
        <f>BK28-BM28</f>
        <v/>
      </c>
      <c r="BO28" s="10" t="n"/>
      <c r="BP28" s="11">
        <f>H28+K28+N28+Q28+T28+W28+Z28+AC28+AF28+AI28+AL28+AO28+AR28+AU28+AX28+BA28+BD28+BG28+BJ28+BM28</f>
        <v/>
      </c>
      <c r="BQ28" s="11">
        <f>G28-BP28</f>
        <v/>
      </c>
    </row>
    <row r="29" ht="30" customHeight="1">
      <c r="B29" s="8" t="inlineStr">
        <is>
          <t>E4-H2 (HU-08)</t>
        </is>
      </c>
      <c r="C29" s="14" t="inlineStr">
        <is>
          <t>Registro de materiales y horas hombre</t>
        </is>
      </c>
      <c r="D29" s="14" t="inlineStr">
        <is>
          <t>Validación de stock al consumir (RN-09)</t>
        </is>
      </c>
      <c r="E29" s="8" t="inlineStr">
        <is>
          <t>Benjamín</t>
        </is>
      </c>
      <c r="F29" s="8" t="inlineStr">
        <is>
          <t>Hecho</t>
        </is>
      </c>
      <c r="G29" s="8" t="n">
        <v>7</v>
      </c>
      <c r="H29" s="9" t="n">
        <v>0</v>
      </c>
      <c r="I29" s="9">
        <f>G29-H29</f>
        <v/>
      </c>
      <c r="J29" s="10" t="n"/>
      <c r="K29" s="9" t="n">
        <v>0</v>
      </c>
      <c r="L29" s="9">
        <f>I29-K29</f>
        <v/>
      </c>
      <c r="M29" s="10" t="n"/>
      <c r="N29" s="9" t="n">
        <v>0</v>
      </c>
      <c r="O29" s="9">
        <f>L29-N29</f>
        <v/>
      </c>
      <c r="P29" s="10" t="n"/>
      <c r="Q29" s="9" t="n">
        <v>0</v>
      </c>
      <c r="R29" s="9">
        <f>O29-Q29</f>
        <v/>
      </c>
      <c r="S29" s="10" t="n"/>
      <c r="T29" s="9" t="n">
        <v>0</v>
      </c>
      <c r="U29" s="9">
        <f>R29-T29</f>
        <v/>
      </c>
      <c r="V29" s="10" t="n"/>
      <c r="W29" s="9" t="n">
        <v>0</v>
      </c>
      <c r="X29" s="9">
        <f>U29-W29</f>
        <v/>
      </c>
      <c r="Y29" s="10" t="n"/>
      <c r="Z29" s="9" t="n">
        <v>0</v>
      </c>
      <c r="AA29" s="9">
        <f>X29-Z29</f>
        <v/>
      </c>
      <c r="AB29" s="10" t="n"/>
      <c r="AC29" s="9" t="n">
        <v>0</v>
      </c>
      <c r="AD29" s="9">
        <f>AA29-AC29</f>
        <v/>
      </c>
      <c r="AE29" s="10" t="n"/>
      <c r="AF29" s="9" t="n">
        <v>7</v>
      </c>
      <c r="AG29" s="9">
        <f>AD29-AF29</f>
        <v/>
      </c>
      <c r="AH29" s="10" t="n"/>
      <c r="AI29" s="9" t="n">
        <v>0</v>
      </c>
      <c r="AJ29" s="9">
        <f>AG29-AI29</f>
        <v/>
      </c>
      <c r="AK29" s="10" t="n"/>
      <c r="AL29" s="9" t="n"/>
      <c r="AM29" s="9">
        <f>AJ29-AL29</f>
        <v/>
      </c>
      <c r="AN29" s="10" t="n"/>
      <c r="AO29" s="9" t="n"/>
      <c r="AP29" s="9">
        <f>AM29-AO29</f>
        <v/>
      </c>
      <c r="AQ29" s="10" t="n"/>
      <c r="AR29" s="9" t="n"/>
      <c r="AS29" s="9">
        <f>AP29-AR29</f>
        <v/>
      </c>
      <c r="AT29" s="10" t="n"/>
      <c r="AU29" s="9" t="n"/>
      <c r="AV29" s="9">
        <f>AS29-AU29</f>
        <v/>
      </c>
      <c r="AW29" s="10" t="n"/>
      <c r="AX29" s="9" t="n"/>
      <c r="AY29" s="9">
        <f>AV29-AX29</f>
        <v/>
      </c>
      <c r="AZ29" s="10" t="n"/>
      <c r="BA29" s="9" t="n"/>
      <c r="BB29" s="9">
        <f>AY29-BA29</f>
        <v/>
      </c>
      <c r="BC29" s="10" t="n"/>
      <c r="BD29" s="9" t="n"/>
      <c r="BE29" s="9">
        <f>BB29-BD29</f>
        <v/>
      </c>
      <c r="BF29" s="10" t="n"/>
      <c r="BG29" s="9" t="n"/>
      <c r="BH29" s="9">
        <f>BE29-BG29</f>
        <v/>
      </c>
      <c r="BI29" s="10" t="n"/>
      <c r="BJ29" s="9" t="n"/>
      <c r="BK29" s="9">
        <f>BH29-BJ29</f>
        <v/>
      </c>
      <c r="BL29" s="10" t="n"/>
      <c r="BM29" s="9" t="n"/>
      <c r="BN29" s="9">
        <f>BK29-BM29</f>
        <v/>
      </c>
      <c r="BO29" s="10" t="n"/>
      <c r="BP29" s="11">
        <f>H29+K29+N29+Q29+T29+W29+Z29+AC29+AF29+AI29+AL29+AO29+AR29+AU29+AX29+BA29+BD29+BG29+BJ29+BM29</f>
        <v/>
      </c>
      <c r="BQ29" s="11">
        <f>G29-BP29</f>
        <v/>
      </c>
    </row>
    <row r="30" ht="30" customHeight="1">
      <c r="B30" s="8" t="inlineStr">
        <is>
          <t>E5-H1 (HU-09)</t>
        </is>
      </c>
      <c r="C30" s="14" t="inlineStr">
        <is>
          <t>Control de calidad</t>
        </is>
      </c>
      <c r="D30" s="14" t="inlineStr">
        <is>
          <t>Modelo de protocolo de ensayos y rangos</t>
        </is>
      </c>
      <c r="E30" s="8" t="inlineStr">
        <is>
          <t>Benjamín</t>
        </is>
      </c>
      <c r="F30" s="8" t="inlineStr">
        <is>
          <t>Hecho</t>
        </is>
      </c>
      <c r="G30" s="8" t="n">
        <v>4</v>
      </c>
      <c r="H30" s="9" t="n">
        <v>0</v>
      </c>
      <c r="I30" s="9">
        <f>G30-H30</f>
        <v/>
      </c>
      <c r="J30" s="10" t="n"/>
      <c r="K30" s="9" t="n">
        <v>0</v>
      </c>
      <c r="L30" s="9">
        <f>I30-K30</f>
        <v/>
      </c>
      <c r="M30" s="10" t="n"/>
      <c r="N30" s="9" t="n">
        <v>0</v>
      </c>
      <c r="O30" s="9">
        <f>L30-N30</f>
        <v/>
      </c>
      <c r="P30" s="10" t="n"/>
      <c r="Q30" s="9" t="n">
        <v>0</v>
      </c>
      <c r="R30" s="9">
        <f>O30-Q30</f>
        <v/>
      </c>
      <c r="S30" s="10" t="n"/>
      <c r="T30" s="9" t="n">
        <v>0</v>
      </c>
      <c r="U30" s="9">
        <f>R30-T30</f>
        <v/>
      </c>
      <c r="V30" s="10" t="n"/>
      <c r="W30" s="9" t="n">
        <v>0</v>
      </c>
      <c r="X30" s="9">
        <f>U30-W30</f>
        <v/>
      </c>
      <c r="Y30" s="10" t="n"/>
      <c r="Z30" s="9" t="n">
        <v>0</v>
      </c>
      <c r="AA30" s="9">
        <f>X30-Z30</f>
        <v/>
      </c>
      <c r="AB30" s="10" t="n"/>
      <c r="AC30" s="9" t="n">
        <v>0</v>
      </c>
      <c r="AD30" s="9">
        <f>AA30-AC30</f>
        <v/>
      </c>
      <c r="AE30" s="10" t="n"/>
      <c r="AF30" s="9" t="n">
        <v>4</v>
      </c>
      <c r="AG30" s="9">
        <f>AD30-AF30</f>
        <v/>
      </c>
      <c r="AH30" s="10" t="n"/>
      <c r="AI30" s="9" t="n">
        <v>0</v>
      </c>
      <c r="AJ30" s="9">
        <f>AG30-AI30</f>
        <v/>
      </c>
      <c r="AK30" s="10" t="n"/>
      <c r="AL30" s="9" t="n"/>
      <c r="AM30" s="9">
        <f>AJ30-AL30</f>
        <v/>
      </c>
      <c r="AN30" s="10" t="n"/>
      <c r="AO30" s="9" t="n"/>
      <c r="AP30" s="9">
        <f>AM30-AO30</f>
        <v/>
      </c>
      <c r="AQ30" s="10" t="n"/>
      <c r="AR30" s="9" t="n"/>
      <c r="AS30" s="9">
        <f>AP30-AR30</f>
        <v/>
      </c>
      <c r="AT30" s="10" t="n"/>
      <c r="AU30" s="9" t="n"/>
      <c r="AV30" s="9">
        <f>AS30-AU30</f>
        <v/>
      </c>
      <c r="AW30" s="10" t="n"/>
      <c r="AX30" s="9" t="n"/>
      <c r="AY30" s="9">
        <f>AV30-AX30</f>
        <v/>
      </c>
      <c r="AZ30" s="10" t="n"/>
      <c r="BA30" s="9" t="n"/>
      <c r="BB30" s="9">
        <f>AY30-BA30</f>
        <v/>
      </c>
      <c r="BC30" s="10" t="n"/>
      <c r="BD30" s="9" t="n"/>
      <c r="BE30" s="9">
        <f>BB30-BD30</f>
        <v/>
      </c>
      <c r="BF30" s="10" t="n"/>
      <c r="BG30" s="9" t="n"/>
      <c r="BH30" s="9">
        <f>BE30-BG30</f>
        <v/>
      </c>
      <c r="BI30" s="10" t="n"/>
      <c r="BJ30" s="9" t="n"/>
      <c r="BK30" s="9">
        <f>BH30-BJ30</f>
        <v/>
      </c>
      <c r="BL30" s="10" t="n"/>
      <c r="BM30" s="9" t="n"/>
      <c r="BN30" s="9">
        <f>BK30-BM30</f>
        <v/>
      </c>
      <c r="BO30" s="10" t="n"/>
      <c r="BP30" s="11">
        <f>H30+K30+N30+Q30+T30+W30+Z30+AC30+AF30+AI30+AL30+AO30+AR30+AU30+AX30+BA30+BD30+BG30+BJ30+BM30</f>
        <v/>
      </c>
      <c r="BQ30" s="11">
        <f>G30-BP30</f>
        <v/>
      </c>
    </row>
    <row r="31" ht="30" customHeight="1">
      <c r="B31" s="8" t="inlineStr">
        <is>
          <t>E5-H1 (HU-09)</t>
        </is>
      </c>
      <c r="C31" s="14" t="inlineStr">
        <is>
          <t>Control de calidad</t>
        </is>
      </c>
      <c r="D31" s="14" t="inlineStr">
        <is>
          <t>Evaluación de ensayos y no conformidades (RN-12)</t>
        </is>
      </c>
      <c r="E31" s="8" t="inlineStr">
        <is>
          <t>Benjamín</t>
        </is>
      </c>
      <c r="F31" s="8" t="inlineStr">
        <is>
          <t>Hecho</t>
        </is>
      </c>
      <c r="G31" s="8" t="n">
        <v>5</v>
      </c>
      <c r="H31" s="9" t="n">
        <v>0</v>
      </c>
      <c r="I31" s="9">
        <f>G31-H31</f>
        <v/>
      </c>
      <c r="J31" s="10" t="n"/>
      <c r="K31" s="9" t="n">
        <v>0</v>
      </c>
      <c r="L31" s="9">
        <f>I31-K31</f>
        <v/>
      </c>
      <c r="M31" s="10" t="n"/>
      <c r="N31" s="9" t="n">
        <v>0</v>
      </c>
      <c r="O31" s="9">
        <f>L31-N31</f>
        <v/>
      </c>
      <c r="P31" s="10" t="n"/>
      <c r="Q31" s="9" t="n">
        <v>0</v>
      </c>
      <c r="R31" s="9">
        <f>O31-Q31</f>
        <v/>
      </c>
      <c r="S31" s="10" t="n"/>
      <c r="T31" s="9" t="n">
        <v>0</v>
      </c>
      <c r="U31" s="9">
        <f>R31-T31</f>
        <v/>
      </c>
      <c r="V31" s="10" t="n"/>
      <c r="W31" s="9" t="n">
        <v>0</v>
      </c>
      <c r="X31" s="9">
        <f>U31-W31</f>
        <v/>
      </c>
      <c r="Y31" s="10" t="n"/>
      <c r="Z31" s="9" t="n">
        <v>0</v>
      </c>
      <c r="AA31" s="9">
        <f>X31-Z31</f>
        <v/>
      </c>
      <c r="AB31" s="10" t="n"/>
      <c r="AC31" s="9" t="n">
        <v>0</v>
      </c>
      <c r="AD31" s="9">
        <f>AA31-AC31</f>
        <v/>
      </c>
      <c r="AE31" s="10" t="n"/>
      <c r="AF31" s="9" t="n">
        <v>5</v>
      </c>
      <c r="AG31" s="9">
        <f>AD31-AF31</f>
        <v/>
      </c>
      <c r="AH31" s="10" t="n"/>
      <c r="AI31" s="9" t="n">
        <v>0</v>
      </c>
      <c r="AJ31" s="9">
        <f>AG31-AI31</f>
        <v/>
      </c>
      <c r="AK31" s="10" t="n"/>
      <c r="AL31" s="9" t="n"/>
      <c r="AM31" s="9">
        <f>AJ31-AL31</f>
        <v/>
      </c>
      <c r="AN31" s="10" t="n"/>
      <c r="AO31" s="9" t="n"/>
      <c r="AP31" s="9">
        <f>AM31-AO31</f>
        <v/>
      </c>
      <c r="AQ31" s="10" t="n"/>
      <c r="AR31" s="9" t="n"/>
      <c r="AS31" s="9">
        <f>AP31-AR31</f>
        <v/>
      </c>
      <c r="AT31" s="10" t="n"/>
      <c r="AU31" s="9" t="n"/>
      <c r="AV31" s="9">
        <f>AS31-AU31</f>
        <v/>
      </c>
      <c r="AW31" s="10" t="n"/>
      <c r="AX31" s="9" t="n"/>
      <c r="AY31" s="9">
        <f>AV31-AX31</f>
        <v/>
      </c>
      <c r="AZ31" s="10" t="n"/>
      <c r="BA31" s="9" t="n"/>
      <c r="BB31" s="9">
        <f>AY31-BA31</f>
        <v/>
      </c>
      <c r="BC31" s="10" t="n"/>
      <c r="BD31" s="9" t="n"/>
      <c r="BE31" s="9">
        <f>BB31-BD31</f>
        <v/>
      </c>
      <c r="BF31" s="10" t="n"/>
      <c r="BG31" s="9" t="n"/>
      <c r="BH31" s="9">
        <f>BE31-BG31</f>
        <v/>
      </c>
      <c r="BI31" s="10" t="n"/>
      <c r="BJ31" s="9" t="n"/>
      <c r="BK31" s="9">
        <f>BH31-BJ31</f>
        <v/>
      </c>
      <c r="BL31" s="10" t="n"/>
      <c r="BM31" s="9" t="n"/>
      <c r="BN31" s="9">
        <f>BK31-BM31</f>
        <v/>
      </c>
      <c r="BO31" s="10" t="n"/>
      <c r="BP31" s="11">
        <f>H31+K31+N31+Q31+T31+W31+Z31+AC31+AF31+AI31+AL31+AO31+AR31+AU31+AX31+BA31+BD31+BG31+BJ31+BM31</f>
        <v/>
      </c>
      <c r="BQ31" s="11">
        <f>G31-BP31</f>
        <v/>
      </c>
    </row>
    <row r="32" ht="30" customHeight="1">
      <c r="B32" s="8" t="inlineStr">
        <is>
          <t>E5-H1 (HU-09)</t>
        </is>
      </c>
      <c r="C32" s="14" t="inlineStr">
        <is>
          <t>Control de calidad</t>
        </is>
      </c>
      <c r="D32" s="14" t="inlineStr">
        <is>
          <t>Vista de calidad en el escritorio</t>
        </is>
      </c>
      <c r="E32" s="8" t="inlineStr">
        <is>
          <t>Benjamín</t>
        </is>
      </c>
      <c r="F32" s="8" t="inlineStr">
        <is>
          <t>Hecho</t>
        </is>
      </c>
      <c r="G32" s="8" t="n">
        <v>5</v>
      </c>
      <c r="H32" s="9" t="n">
        <v>0</v>
      </c>
      <c r="I32" s="9">
        <f>G32-H32</f>
        <v/>
      </c>
      <c r="J32" s="10" t="n"/>
      <c r="K32" s="9" t="n">
        <v>0</v>
      </c>
      <c r="L32" s="9">
        <f>I32-K32</f>
        <v/>
      </c>
      <c r="M32" s="10" t="n"/>
      <c r="N32" s="9" t="n">
        <v>0</v>
      </c>
      <c r="O32" s="9">
        <f>L32-N32</f>
        <v/>
      </c>
      <c r="P32" s="10" t="n"/>
      <c r="Q32" s="9" t="n">
        <v>0</v>
      </c>
      <c r="R32" s="9">
        <f>O32-Q32</f>
        <v/>
      </c>
      <c r="S32" s="10" t="n"/>
      <c r="T32" s="9" t="n">
        <v>0</v>
      </c>
      <c r="U32" s="9">
        <f>R32-T32</f>
        <v/>
      </c>
      <c r="V32" s="10" t="n"/>
      <c r="W32" s="9" t="n">
        <v>0</v>
      </c>
      <c r="X32" s="9">
        <f>U32-W32</f>
        <v/>
      </c>
      <c r="Y32" s="10" t="n"/>
      <c r="Z32" s="9" t="n">
        <v>0</v>
      </c>
      <c r="AA32" s="9">
        <f>X32-Z32</f>
        <v/>
      </c>
      <c r="AB32" s="10" t="n"/>
      <c r="AC32" s="9" t="n">
        <v>0</v>
      </c>
      <c r="AD32" s="9">
        <f>AA32-AC32</f>
        <v/>
      </c>
      <c r="AE32" s="10" t="n"/>
      <c r="AF32" s="9" t="n">
        <v>5</v>
      </c>
      <c r="AG32" s="9">
        <f>AD32-AF32</f>
        <v/>
      </c>
      <c r="AH32" s="10" t="n"/>
      <c r="AI32" s="9" t="n">
        <v>0</v>
      </c>
      <c r="AJ32" s="9">
        <f>AG32-AI32</f>
        <v/>
      </c>
      <c r="AK32" s="10" t="n"/>
      <c r="AL32" s="9" t="n"/>
      <c r="AM32" s="9">
        <f>AJ32-AL32</f>
        <v/>
      </c>
      <c r="AN32" s="10" t="n"/>
      <c r="AO32" s="9" t="n"/>
      <c r="AP32" s="9">
        <f>AM32-AO32</f>
        <v/>
      </c>
      <c r="AQ32" s="10" t="n"/>
      <c r="AR32" s="9" t="n"/>
      <c r="AS32" s="9">
        <f>AP32-AR32</f>
        <v/>
      </c>
      <c r="AT32" s="10" t="n"/>
      <c r="AU32" s="9" t="n"/>
      <c r="AV32" s="9">
        <f>AS32-AU32</f>
        <v/>
      </c>
      <c r="AW32" s="10" t="n"/>
      <c r="AX32" s="9" t="n"/>
      <c r="AY32" s="9">
        <f>AV32-AX32</f>
        <v/>
      </c>
      <c r="AZ32" s="10" t="n"/>
      <c r="BA32" s="9" t="n"/>
      <c r="BB32" s="9">
        <f>AY32-BA32</f>
        <v/>
      </c>
      <c r="BC32" s="10" t="n"/>
      <c r="BD32" s="9" t="n"/>
      <c r="BE32" s="9">
        <f>BB32-BD32</f>
        <v/>
      </c>
      <c r="BF32" s="10" t="n"/>
      <c r="BG32" s="9" t="n"/>
      <c r="BH32" s="9">
        <f>BE32-BG32</f>
        <v/>
      </c>
      <c r="BI32" s="10" t="n"/>
      <c r="BJ32" s="9" t="n"/>
      <c r="BK32" s="9">
        <f>BH32-BJ32</f>
        <v/>
      </c>
      <c r="BL32" s="10" t="n"/>
      <c r="BM32" s="9" t="n"/>
      <c r="BN32" s="9">
        <f>BK32-BM32</f>
        <v/>
      </c>
      <c r="BO32" s="10" t="n"/>
      <c r="BP32" s="11">
        <f>H32+K32+N32+Q32+T32+W32+Z32+AC32+AF32+AI32+AL32+AO32+AR32+AU32+AX32+BA32+BD32+BG32+BJ32+BM32</f>
        <v/>
      </c>
      <c r="BQ32" s="11">
        <f>G32-BP32</f>
        <v/>
      </c>
    </row>
    <row r="33" ht="30" customHeight="1">
      <c r="B33" s="8" t="inlineStr">
        <is>
          <t>E6-H1 (HU-10)</t>
        </is>
      </c>
      <c r="C33" s="14" t="inlineStr">
        <is>
          <t>Stock disponible</t>
        </is>
      </c>
      <c r="D33" s="14" t="inlineStr">
        <is>
          <t>Movimientos de inventario y stock calculado</t>
        </is>
      </c>
      <c r="E33" s="8" t="inlineStr">
        <is>
          <t>Benjamín</t>
        </is>
      </c>
      <c r="F33" s="8" t="inlineStr">
        <is>
          <t>Hecho</t>
        </is>
      </c>
      <c r="G33" s="8" t="n">
        <v>7</v>
      </c>
      <c r="H33" s="9" t="n">
        <v>0</v>
      </c>
      <c r="I33" s="9">
        <f>G33-H33</f>
        <v/>
      </c>
      <c r="J33" s="10" t="n"/>
      <c r="K33" s="9" t="n">
        <v>0</v>
      </c>
      <c r="L33" s="9">
        <f>I33-K33</f>
        <v/>
      </c>
      <c r="M33" s="10" t="n"/>
      <c r="N33" s="9" t="n">
        <v>0</v>
      </c>
      <c r="O33" s="9">
        <f>L33-N33</f>
        <v/>
      </c>
      <c r="P33" s="10" t="n"/>
      <c r="Q33" s="9" t="n">
        <v>0</v>
      </c>
      <c r="R33" s="9">
        <f>O33-Q33</f>
        <v/>
      </c>
      <c r="S33" s="10" t="n"/>
      <c r="T33" s="9" t="n">
        <v>0</v>
      </c>
      <c r="U33" s="9">
        <f>R33-T33</f>
        <v/>
      </c>
      <c r="V33" s="10" t="n"/>
      <c r="W33" s="9" t="n">
        <v>0</v>
      </c>
      <c r="X33" s="9">
        <f>U33-W33</f>
        <v/>
      </c>
      <c r="Y33" s="10" t="n"/>
      <c r="Z33" s="9" t="n">
        <v>0</v>
      </c>
      <c r="AA33" s="9">
        <f>X33-Z33</f>
        <v/>
      </c>
      <c r="AB33" s="10" t="n"/>
      <c r="AC33" s="9" t="n">
        <v>0</v>
      </c>
      <c r="AD33" s="9">
        <f>AA33-AC33</f>
        <v/>
      </c>
      <c r="AE33" s="10" t="n"/>
      <c r="AF33" s="9" t="n">
        <v>7</v>
      </c>
      <c r="AG33" s="9">
        <f>AD33-AF33</f>
        <v/>
      </c>
      <c r="AH33" s="10" t="n"/>
      <c r="AI33" s="9" t="n">
        <v>0</v>
      </c>
      <c r="AJ33" s="9">
        <f>AG33-AI33</f>
        <v/>
      </c>
      <c r="AK33" s="10" t="n"/>
      <c r="AL33" s="9" t="n"/>
      <c r="AM33" s="9">
        <f>AJ33-AL33</f>
        <v/>
      </c>
      <c r="AN33" s="10" t="n"/>
      <c r="AO33" s="9" t="n"/>
      <c r="AP33" s="9">
        <f>AM33-AO33</f>
        <v/>
      </c>
      <c r="AQ33" s="10" t="n"/>
      <c r="AR33" s="9" t="n"/>
      <c r="AS33" s="9">
        <f>AP33-AR33</f>
        <v/>
      </c>
      <c r="AT33" s="10" t="n"/>
      <c r="AU33" s="9" t="n"/>
      <c r="AV33" s="9">
        <f>AS33-AU33</f>
        <v/>
      </c>
      <c r="AW33" s="10" t="n"/>
      <c r="AX33" s="9" t="n"/>
      <c r="AY33" s="9">
        <f>AV33-AX33</f>
        <v/>
      </c>
      <c r="AZ33" s="10" t="n"/>
      <c r="BA33" s="9" t="n"/>
      <c r="BB33" s="9">
        <f>AY33-BA33</f>
        <v/>
      </c>
      <c r="BC33" s="10" t="n"/>
      <c r="BD33" s="9" t="n"/>
      <c r="BE33" s="9">
        <f>BB33-BD33</f>
        <v/>
      </c>
      <c r="BF33" s="10" t="n"/>
      <c r="BG33" s="9" t="n"/>
      <c r="BH33" s="9">
        <f>BE33-BG33</f>
        <v/>
      </c>
      <c r="BI33" s="10" t="n"/>
      <c r="BJ33" s="9" t="n"/>
      <c r="BK33" s="9">
        <f>BH33-BJ33</f>
        <v/>
      </c>
      <c r="BL33" s="10" t="n"/>
      <c r="BM33" s="9" t="n"/>
      <c r="BN33" s="9">
        <f>BK33-BM33</f>
        <v/>
      </c>
      <c r="BO33" s="10" t="n"/>
      <c r="BP33" s="11">
        <f>H33+K33+N33+Q33+T33+W33+Z33+AC33+AF33+AI33+AL33+AO33+AR33+AU33+AX33+BA33+BD33+BG33+BJ33+BM33</f>
        <v/>
      </c>
      <c r="BQ33" s="11">
        <f>G33-BP33</f>
        <v/>
      </c>
    </row>
    <row r="34" ht="30" customHeight="1">
      <c r="B34" s="8" t="inlineStr">
        <is>
          <t>E6-H1 (HU-10)</t>
        </is>
      </c>
      <c r="C34" s="14" t="inlineStr">
        <is>
          <t>Stock disponible</t>
        </is>
      </c>
      <c r="D34" s="14" t="inlineStr">
        <is>
          <t>Kardex y vista de bodega</t>
        </is>
      </c>
      <c r="E34" s="8" t="inlineStr">
        <is>
          <t>Benjamín</t>
        </is>
      </c>
      <c r="F34" s="8" t="inlineStr">
        <is>
          <t>Hecho</t>
        </is>
      </c>
      <c r="G34" s="8" t="n">
        <v>7</v>
      </c>
      <c r="H34" s="9" t="n">
        <v>0</v>
      </c>
      <c r="I34" s="9">
        <f>G34-H34</f>
        <v/>
      </c>
      <c r="J34" s="10" t="n"/>
      <c r="K34" s="9" t="n">
        <v>0</v>
      </c>
      <c r="L34" s="9">
        <f>I34-K34</f>
        <v/>
      </c>
      <c r="M34" s="10" t="n"/>
      <c r="N34" s="9" t="n">
        <v>0</v>
      </c>
      <c r="O34" s="9">
        <f>L34-N34</f>
        <v/>
      </c>
      <c r="P34" s="10" t="n"/>
      <c r="Q34" s="9" t="n">
        <v>0</v>
      </c>
      <c r="R34" s="9">
        <f>O34-Q34</f>
        <v/>
      </c>
      <c r="S34" s="10" t="n"/>
      <c r="T34" s="9" t="n">
        <v>0</v>
      </c>
      <c r="U34" s="9">
        <f>R34-T34</f>
        <v/>
      </c>
      <c r="V34" s="10" t="n"/>
      <c r="W34" s="9" t="n">
        <v>0</v>
      </c>
      <c r="X34" s="9">
        <f>U34-W34</f>
        <v/>
      </c>
      <c r="Y34" s="10" t="n"/>
      <c r="Z34" s="9" t="n">
        <v>0</v>
      </c>
      <c r="AA34" s="9">
        <f>X34-Z34</f>
        <v/>
      </c>
      <c r="AB34" s="10" t="n"/>
      <c r="AC34" s="9" t="n">
        <v>0</v>
      </c>
      <c r="AD34" s="9">
        <f>AA34-AC34</f>
        <v/>
      </c>
      <c r="AE34" s="10" t="n"/>
      <c r="AF34" s="9" t="n">
        <v>7</v>
      </c>
      <c r="AG34" s="9">
        <f>AD34-AF34</f>
        <v/>
      </c>
      <c r="AH34" s="10" t="n"/>
      <c r="AI34" s="9" t="n">
        <v>0</v>
      </c>
      <c r="AJ34" s="9">
        <f>AG34-AI34</f>
        <v/>
      </c>
      <c r="AK34" s="10" t="n"/>
      <c r="AL34" s="9" t="n"/>
      <c r="AM34" s="9">
        <f>AJ34-AL34</f>
        <v/>
      </c>
      <c r="AN34" s="10" t="n"/>
      <c r="AO34" s="9" t="n"/>
      <c r="AP34" s="9">
        <f>AM34-AO34</f>
        <v/>
      </c>
      <c r="AQ34" s="10" t="n"/>
      <c r="AR34" s="9" t="n"/>
      <c r="AS34" s="9">
        <f>AP34-AR34</f>
        <v/>
      </c>
      <c r="AT34" s="10" t="n"/>
      <c r="AU34" s="9" t="n"/>
      <c r="AV34" s="9">
        <f>AS34-AU34</f>
        <v/>
      </c>
      <c r="AW34" s="10" t="n"/>
      <c r="AX34" s="9" t="n"/>
      <c r="AY34" s="9">
        <f>AV34-AX34</f>
        <v/>
      </c>
      <c r="AZ34" s="10" t="n"/>
      <c r="BA34" s="9" t="n"/>
      <c r="BB34" s="9">
        <f>AY34-BA34</f>
        <v/>
      </c>
      <c r="BC34" s="10" t="n"/>
      <c r="BD34" s="9" t="n"/>
      <c r="BE34" s="9">
        <f>BB34-BD34</f>
        <v/>
      </c>
      <c r="BF34" s="10" t="n"/>
      <c r="BG34" s="9" t="n"/>
      <c r="BH34" s="9">
        <f>BE34-BG34</f>
        <v/>
      </c>
      <c r="BI34" s="10" t="n"/>
      <c r="BJ34" s="9" t="n"/>
      <c r="BK34" s="9">
        <f>BH34-BJ34</f>
        <v/>
      </c>
      <c r="BL34" s="10" t="n"/>
      <c r="BM34" s="9" t="n"/>
      <c r="BN34" s="9">
        <f>BK34-BM34</f>
        <v/>
      </c>
      <c r="BO34" s="10" t="n"/>
      <c r="BP34" s="11">
        <f>H34+K34+N34+Q34+T34+W34+Z34+AC34+AF34+AI34+AL34+AO34+AR34+AU34+AX34+BA34+BD34+BG34+BJ34+BM34</f>
        <v/>
      </c>
      <c r="BQ34" s="11">
        <f>G34-BP34</f>
        <v/>
      </c>
    </row>
    <row r="35" ht="30" customHeight="1">
      <c r="B35" s="8" t="inlineStr">
        <is>
          <t>E7-H1 (HU-11)</t>
        </is>
      </c>
      <c r="C35" s="14" t="inlineStr">
        <is>
          <t>Pago en línea</t>
        </is>
      </c>
      <c r="D35" s="14" t="inlineStr">
        <is>
          <t>Integración con PayPal Sandbox</t>
        </is>
      </c>
      <c r="E35" s="8" t="inlineStr">
        <is>
          <t>Benjamín</t>
        </is>
      </c>
      <c r="F35" s="8" t="inlineStr">
        <is>
          <t>Hecho</t>
        </is>
      </c>
      <c r="G35" s="8" t="n">
        <v>6</v>
      </c>
      <c r="H35" s="9" t="n">
        <v>0</v>
      </c>
      <c r="I35" s="9">
        <f>G35-H35</f>
        <v/>
      </c>
      <c r="J35" s="10" t="n"/>
      <c r="K35" s="9" t="n">
        <v>0</v>
      </c>
      <c r="L35" s="9">
        <f>I35-K35</f>
        <v/>
      </c>
      <c r="M35" s="10" t="n"/>
      <c r="N35" s="9" t="n">
        <v>0</v>
      </c>
      <c r="O35" s="9">
        <f>L35-N35</f>
        <v/>
      </c>
      <c r="P35" s="10" t="n"/>
      <c r="Q35" s="9" t="n">
        <v>0</v>
      </c>
      <c r="R35" s="9">
        <f>O35-Q35</f>
        <v/>
      </c>
      <c r="S35" s="10" t="n"/>
      <c r="T35" s="9" t="n">
        <v>0</v>
      </c>
      <c r="U35" s="9">
        <f>R35-T35</f>
        <v/>
      </c>
      <c r="V35" s="10" t="n"/>
      <c r="W35" s="9" t="n">
        <v>0</v>
      </c>
      <c r="X35" s="9">
        <f>U35-W35</f>
        <v/>
      </c>
      <c r="Y35" s="10" t="n"/>
      <c r="Z35" s="9" t="n">
        <v>0</v>
      </c>
      <c r="AA35" s="9">
        <f>X35-Z35</f>
        <v/>
      </c>
      <c r="AB35" s="10" t="n"/>
      <c r="AC35" s="9" t="n">
        <v>0</v>
      </c>
      <c r="AD35" s="9">
        <f>AA35-AC35</f>
        <v/>
      </c>
      <c r="AE35" s="10" t="n"/>
      <c r="AF35" s="9" t="n">
        <v>6</v>
      </c>
      <c r="AG35" s="9">
        <f>AD35-AF35</f>
        <v/>
      </c>
      <c r="AH35" s="10" t="n"/>
      <c r="AI35" s="9" t="n">
        <v>0</v>
      </c>
      <c r="AJ35" s="9">
        <f>AG35-AI35</f>
        <v/>
      </c>
      <c r="AK35" s="10" t="n"/>
      <c r="AL35" s="9" t="n"/>
      <c r="AM35" s="9">
        <f>AJ35-AL35</f>
        <v/>
      </c>
      <c r="AN35" s="10" t="n"/>
      <c r="AO35" s="9" t="n"/>
      <c r="AP35" s="9">
        <f>AM35-AO35</f>
        <v/>
      </c>
      <c r="AQ35" s="10" t="n"/>
      <c r="AR35" s="9" t="n"/>
      <c r="AS35" s="9">
        <f>AP35-AR35</f>
        <v/>
      </c>
      <c r="AT35" s="10" t="n"/>
      <c r="AU35" s="9" t="n"/>
      <c r="AV35" s="9">
        <f>AS35-AU35</f>
        <v/>
      </c>
      <c r="AW35" s="10" t="n"/>
      <c r="AX35" s="9" t="n"/>
      <c r="AY35" s="9">
        <f>AV35-AX35</f>
        <v/>
      </c>
      <c r="AZ35" s="10" t="n"/>
      <c r="BA35" s="9" t="n"/>
      <c r="BB35" s="9">
        <f>AY35-BA35</f>
        <v/>
      </c>
      <c r="BC35" s="10" t="n"/>
      <c r="BD35" s="9" t="n"/>
      <c r="BE35" s="9">
        <f>BB35-BD35</f>
        <v/>
      </c>
      <c r="BF35" s="10" t="n"/>
      <c r="BG35" s="9" t="n"/>
      <c r="BH35" s="9">
        <f>BE35-BG35</f>
        <v/>
      </c>
      <c r="BI35" s="10" t="n"/>
      <c r="BJ35" s="9" t="n"/>
      <c r="BK35" s="9">
        <f>BH35-BJ35</f>
        <v/>
      </c>
      <c r="BL35" s="10" t="n"/>
      <c r="BM35" s="9" t="n"/>
      <c r="BN35" s="9">
        <f>BK35-BM35</f>
        <v/>
      </c>
      <c r="BO35" s="10" t="n"/>
      <c r="BP35" s="11">
        <f>H35+K35+N35+Q35+T35+W35+Z35+AC35+AF35+AI35+AL35+AO35+AR35+AU35+AX35+BA35+BD35+BG35+BJ35+BM35</f>
        <v/>
      </c>
      <c r="BQ35" s="11">
        <f>G35-BP35</f>
        <v/>
      </c>
    </row>
    <row r="36" ht="30" customHeight="1">
      <c r="B36" s="8" t="inlineStr">
        <is>
          <t>E7-H1 (HU-11)</t>
        </is>
      </c>
      <c r="C36" s="14" t="inlineStr">
        <is>
          <t>Pago en línea</t>
        </is>
      </c>
      <c r="D36" s="14" t="inlineStr">
        <is>
          <t>Documento de cobro y conciliación del pago</t>
        </is>
      </c>
      <c r="E36" s="8" t="inlineStr">
        <is>
          <t>Benjamín</t>
        </is>
      </c>
      <c r="F36" s="8" t="inlineStr">
        <is>
          <t>Hecho</t>
        </is>
      </c>
      <c r="G36" s="8" t="n">
        <v>4</v>
      </c>
      <c r="H36" s="9" t="n">
        <v>0</v>
      </c>
      <c r="I36" s="9">
        <f>G36-H36</f>
        <v/>
      </c>
      <c r="J36" s="10" t="n"/>
      <c r="K36" s="9" t="n">
        <v>0</v>
      </c>
      <c r="L36" s="9">
        <f>I36-K36</f>
        <v/>
      </c>
      <c r="M36" s="10" t="n"/>
      <c r="N36" s="9" t="n">
        <v>0</v>
      </c>
      <c r="O36" s="9">
        <f>L36-N36</f>
        <v/>
      </c>
      <c r="P36" s="10" t="n"/>
      <c r="Q36" s="9" t="n">
        <v>0</v>
      </c>
      <c r="R36" s="9">
        <f>O36-Q36</f>
        <v/>
      </c>
      <c r="S36" s="10" t="n"/>
      <c r="T36" s="9" t="n">
        <v>0</v>
      </c>
      <c r="U36" s="9">
        <f>R36-T36</f>
        <v/>
      </c>
      <c r="V36" s="10" t="n"/>
      <c r="W36" s="9" t="n">
        <v>0</v>
      </c>
      <c r="X36" s="9">
        <f>U36-W36</f>
        <v/>
      </c>
      <c r="Y36" s="10" t="n"/>
      <c r="Z36" s="9" t="n">
        <v>0</v>
      </c>
      <c r="AA36" s="9">
        <f>X36-Z36</f>
        <v/>
      </c>
      <c r="AB36" s="10" t="n"/>
      <c r="AC36" s="9" t="n">
        <v>0</v>
      </c>
      <c r="AD36" s="9">
        <f>AA36-AC36</f>
        <v/>
      </c>
      <c r="AE36" s="10" t="n"/>
      <c r="AF36" s="9" t="n">
        <v>4</v>
      </c>
      <c r="AG36" s="9">
        <f>AD36-AF36</f>
        <v/>
      </c>
      <c r="AH36" s="10" t="n"/>
      <c r="AI36" s="9" t="n">
        <v>0</v>
      </c>
      <c r="AJ36" s="9">
        <f>AG36-AI36</f>
        <v/>
      </c>
      <c r="AK36" s="10" t="n"/>
      <c r="AL36" s="9" t="n"/>
      <c r="AM36" s="9">
        <f>AJ36-AL36</f>
        <v/>
      </c>
      <c r="AN36" s="10" t="n"/>
      <c r="AO36" s="9" t="n"/>
      <c r="AP36" s="9">
        <f>AM36-AO36</f>
        <v/>
      </c>
      <c r="AQ36" s="10" t="n"/>
      <c r="AR36" s="9" t="n"/>
      <c r="AS36" s="9">
        <f>AP36-AR36</f>
        <v/>
      </c>
      <c r="AT36" s="10" t="n"/>
      <c r="AU36" s="9" t="n"/>
      <c r="AV36" s="9">
        <f>AS36-AU36</f>
        <v/>
      </c>
      <c r="AW36" s="10" t="n"/>
      <c r="AX36" s="9" t="n"/>
      <c r="AY36" s="9">
        <f>AV36-AX36</f>
        <v/>
      </c>
      <c r="AZ36" s="10" t="n"/>
      <c r="BA36" s="9" t="n"/>
      <c r="BB36" s="9">
        <f>AY36-BA36</f>
        <v/>
      </c>
      <c r="BC36" s="10" t="n"/>
      <c r="BD36" s="9" t="n"/>
      <c r="BE36" s="9">
        <f>BB36-BD36</f>
        <v/>
      </c>
      <c r="BF36" s="10" t="n"/>
      <c r="BG36" s="9" t="n"/>
      <c r="BH36" s="9">
        <f>BE36-BG36</f>
        <v/>
      </c>
      <c r="BI36" s="10" t="n"/>
      <c r="BJ36" s="9" t="n"/>
      <c r="BK36" s="9">
        <f>BH36-BJ36</f>
        <v/>
      </c>
      <c r="BL36" s="10" t="n"/>
      <c r="BM36" s="9" t="n"/>
      <c r="BN36" s="9">
        <f>BK36-BM36</f>
        <v/>
      </c>
      <c r="BO36" s="10" t="n"/>
      <c r="BP36" s="11">
        <f>H36+K36+N36+Q36+T36+W36+Z36+AC36+AF36+AI36+AL36+AO36+AR36+AU36+AX36+BA36+BD36+BG36+BJ36+BM36</f>
        <v/>
      </c>
      <c r="BQ36" s="11">
        <f>G36-BP36</f>
        <v/>
      </c>
    </row>
    <row r="37" ht="30" customHeight="1">
      <c r="B37" s="8" t="inlineStr">
        <is>
          <t>E7-H1 (HU-11)</t>
        </is>
      </c>
      <c r="C37" s="14" t="inlineStr">
        <is>
          <t>Pago en línea</t>
        </is>
      </c>
      <c r="D37" s="14" t="inlineStr">
        <is>
          <t>Conversión de montos con mindicador.cl</t>
        </is>
      </c>
      <c r="E37" s="8" t="inlineStr">
        <is>
          <t>Benjamín</t>
        </is>
      </c>
      <c r="F37" s="8" t="inlineStr">
        <is>
          <t>Hecho</t>
        </is>
      </c>
      <c r="G37" s="8" t="n">
        <v>4</v>
      </c>
      <c r="H37" s="9" t="n">
        <v>0</v>
      </c>
      <c r="I37" s="9">
        <f>G37-H37</f>
        <v/>
      </c>
      <c r="J37" s="10" t="n"/>
      <c r="K37" s="9" t="n">
        <v>0</v>
      </c>
      <c r="L37" s="9">
        <f>I37-K37</f>
        <v/>
      </c>
      <c r="M37" s="10" t="n"/>
      <c r="N37" s="9" t="n">
        <v>0</v>
      </c>
      <c r="O37" s="9">
        <f>L37-N37</f>
        <v/>
      </c>
      <c r="P37" s="10" t="n"/>
      <c r="Q37" s="9" t="n">
        <v>0</v>
      </c>
      <c r="R37" s="9">
        <f>O37-Q37</f>
        <v/>
      </c>
      <c r="S37" s="10" t="n"/>
      <c r="T37" s="9" t="n">
        <v>0</v>
      </c>
      <c r="U37" s="9">
        <f>R37-T37</f>
        <v/>
      </c>
      <c r="V37" s="10" t="n"/>
      <c r="W37" s="9" t="n">
        <v>0</v>
      </c>
      <c r="X37" s="9">
        <f>U37-W37</f>
        <v/>
      </c>
      <c r="Y37" s="10" t="n"/>
      <c r="Z37" s="9" t="n">
        <v>0</v>
      </c>
      <c r="AA37" s="9">
        <f>X37-Z37</f>
        <v/>
      </c>
      <c r="AB37" s="10" t="n"/>
      <c r="AC37" s="9" t="n">
        <v>0</v>
      </c>
      <c r="AD37" s="9">
        <f>AA37-AC37</f>
        <v/>
      </c>
      <c r="AE37" s="10" t="n"/>
      <c r="AF37" s="9" t="n">
        <v>4</v>
      </c>
      <c r="AG37" s="9">
        <f>AD37-AF37</f>
        <v/>
      </c>
      <c r="AH37" s="10" t="n"/>
      <c r="AI37" s="9" t="n">
        <v>0</v>
      </c>
      <c r="AJ37" s="9">
        <f>AG37-AI37</f>
        <v/>
      </c>
      <c r="AK37" s="10" t="n"/>
      <c r="AL37" s="9" t="n"/>
      <c r="AM37" s="9">
        <f>AJ37-AL37</f>
        <v/>
      </c>
      <c r="AN37" s="10" t="n"/>
      <c r="AO37" s="9" t="n"/>
      <c r="AP37" s="9">
        <f>AM37-AO37</f>
        <v/>
      </c>
      <c r="AQ37" s="10" t="n"/>
      <c r="AR37" s="9" t="n"/>
      <c r="AS37" s="9">
        <f>AP37-AR37</f>
        <v/>
      </c>
      <c r="AT37" s="10" t="n"/>
      <c r="AU37" s="9" t="n"/>
      <c r="AV37" s="9">
        <f>AS37-AU37</f>
        <v/>
      </c>
      <c r="AW37" s="10" t="n"/>
      <c r="AX37" s="9" t="n"/>
      <c r="AY37" s="9">
        <f>AV37-AX37</f>
        <v/>
      </c>
      <c r="AZ37" s="10" t="n"/>
      <c r="BA37" s="9" t="n"/>
      <c r="BB37" s="9">
        <f>AY37-BA37</f>
        <v/>
      </c>
      <c r="BC37" s="10" t="n"/>
      <c r="BD37" s="9" t="n"/>
      <c r="BE37" s="9">
        <f>BB37-BD37</f>
        <v/>
      </c>
      <c r="BF37" s="10" t="n"/>
      <c r="BG37" s="9" t="n"/>
      <c r="BH37" s="9">
        <f>BE37-BG37</f>
        <v/>
      </c>
      <c r="BI37" s="10" t="n"/>
      <c r="BJ37" s="9" t="n"/>
      <c r="BK37" s="9">
        <f>BH37-BJ37</f>
        <v/>
      </c>
      <c r="BL37" s="10" t="n"/>
      <c r="BM37" s="9" t="n"/>
      <c r="BN37" s="9">
        <f>BK37-BM37</f>
        <v/>
      </c>
      <c r="BO37" s="10" t="n"/>
      <c r="BP37" s="11">
        <f>H37+K37+N37+Q37+T37+W37+Z37+AC37+AF37+AI37+AL37+AO37+AR37+AU37+AX37+BA37+BD37+BG37+BJ37+BM37</f>
        <v/>
      </c>
      <c r="BQ37" s="11">
        <f>G37-BP37</f>
        <v/>
      </c>
    </row>
    <row r="38" ht="30" customHeight="1">
      <c r="B38" s="8" t="inlineStr">
        <is>
          <t>E9-H1 (HU-13)</t>
        </is>
      </c>
      <c r="C38" s="14" t="inlineStr">
        <is>
          <t>Modo mantenimiento</t>
        </is>
      </c>
      <c r="D38" s="14" t="inlineStr">
        <is>
          <t>Parámetros del canal web y modo mantenimiento</t>
        </is>
      </c>
      <c r="E38" s="8" t="inlineStr">
        <is>
          <t>Benjamín</t>
        </is>
      </c>
      <c r="F38" s="8" t="inlineStr">
        <is>
          <t>Hecho</t>
        </is>
      </c>
      <c r="G38" s="8" t="n">
        <v>4</v>
      </c>
      <c r="H38" s="9" t="n">
        <v>0</v>
      </c>
      <c r="I38" s="9">
        <f>G38-H38</f>
        <v/>
      </c>
      <c r="J38" s="10" t="n"/>
      <c r="K38" s="9" t="n">
        <v>0</v>
      </c>
      <c r="L38" s="9">
        <f>I38-K38</f>
        <v/>
      </c>
      <c r="M38" s="10" t="n"/>
      <c r="N38" s="9" t="n">
        <v>0</v>
      </c>
      <c r="O38" s="9">
        <f>L38-N38</f>
        <v/>
      </c>
      <c r="P38" s="10" t="n"/>
      <c r="Q38" s="9" t="n">
        <v>0</v>
      </c>
      <c r="R38" s="9">
        <f>O38-Q38</f>
        <v/>
      </c>
      <c r="S38" s="10" t="n"/>
      <c r="T38" s="9" t="n">
        <v>0</v>
      </c>
      <c r="U38" s="9">
        <f>R38-T38</f>
        <v/>
      </c>
      <c r="V38" s="10" t="n"/>
      <c r="W38" s="9" t="n">
        <v>0</v>
      </c>
      <c r="X38" s="9">
        <f>U38-W38</f>
        <v/>
      </c>
      <c r="Y38" s="10" t="n"/>
      <c r="Z38" s="9" t="n">
        <v>0</v>
      </c>
      <c r="AA38" s="9">
        <f>X38-Z38</f>
        <v/>
      </c>
      <c r="AB38" s="10" t="n"/>
      <c r="AC38" s="9" t="n">
        <v>0</v>
      </c>
      <c r="AD38" s="9">
        <f>AA38-AC38</f>
        <v/>
      </c>
      <c r="AE38" s="10" t="n"/>
      <c r="AF38" s="9" t="n">
        <v>4</v>
      </c>
      <c r="AG38" s="9">
        <f>AD38-AF38</f>
        <v/>
      </c>
      <c r="AH38" s="10" t="n"/>
      <c r="AI38" s="9" t="n">
        <v>0</v>
      </c>
      <c r="AJ38" s="9">
        <f>AG38-AI38</f>
        <v/>
      </c>
      <c r="AK38" s="10" t="n"/>
      <c r="AL38" s="9" t="n"/>
      <c r="AM38" s="9">
        <f>AJ38-AL38</f>
        <v/>
      </c>
      <c r="AN38" s="10" t="n"/>
      <c r="AO38" s="9" t="n"/>
      <c r="AP38" s="9">
        <f>AM38-AO38</f>
        <v/>
      </c>
      <c r="AQ38" s="10" t="n"/>
      <c r="AR38" s="9" t="n"/>
      <c r="AS38" s="9">
        <f>AP38-AR38</f>
        <v/>
      </c>
      <c r="AT38" s="10" t="n"/>
      <c r="AU38" s="9" t="n"/>
      <c r="AV38" s="9">
        <f>AS38-AU38</f>
        <v/>
      </c>
      <c r="AW38" s="10" t="n"/>
      <c r="AX38" s="9" t="n"/>
      <c r="AY38" s="9">
        <f>AV38-AX38</f>
        <v/>
      </c>
      <c r="AZ38" s="10" t="n"/>
      <c r="BA38" s="9" t="n"/>
      <c r="BB38" s="9">
        <f>AY38-BA38</f>
        <v/>
      </c>
      <c r="BC38" s="10" t="n"/>
      <c r="BD38" s="9" t="n"/>
      <c r="BE38" s="9">
        <f>BB38-BD38</f>
        <v/>
      </c>
      <c r="BF38" s="10" t="n"/>
      <c r="BG38" s="9" t="n"/>
      <c r="BH38" s="9">
        <f>BE38-BG38</f>
        <v/>
      </c>
      <c r="BI38" s="10" t="n"/>
      <c r="BJ38" s="9" t="n"/>
      <c r="BK38" s="9">
        <f>BH38-BJ38</f>
        <v/>
      </c>
      <c r="BL38" s="10" t="n"/>
      <c r="BM38" s="9" t="n"/>
      <c r="BN38" s="9">
        <f>BK38-BM38</f>
        <v/>
      </c>
      <c r="BO38" s="10" t="n"/>
      <c r="BP38" s="11">
        <f>H38+K38+N38+Q38+T38+W38+Z38+AC38+AF38+AI38+AL38+AO38+AR38+AU38+AX38+BA38+BD38+BG38+BJ38+BM38</f>
        <v/>
      </c>
      <c r="BQ38" s="11">
        <f>G38-BP38</f>
        <v/>
      </c>
    </row>
    <row r="39" ht="30" customHeight="1">
      <c r="B39" s="8" t="inlineStr">
        <is>
          <t>E9-H1 (HU-13)</t>
        </is>
      </c>
      <c r="C39" s="14" t="inlineStr">
        <is>
          <t>Modo mantenimiento</t>
        </is>
      </c>
      <c r="D39" s="14" t="inlineStr">
        <is>
          <t>Panel Canal web en el escritorio</t>
        </is>
      </c>
      <c r="E39" s="8" t="inlineStr">
        <is>
          <t>Benjamín</t>
        </is>
      </c>
      <c r="F39" s="8" t="inlineStr">
        <is>
          <t>Hecho</t>
        </is>
      </c>
      <c r="G39" s="8" t="n">
        <v>4</v>
      </c>
      <c r="H39" s="9" t="n">
        <v>0</v>
      </c>
      <c r="I39" s="9">
        <f>G39-H39</f>
        <v/>
      </c>
      <c r="J39" s="10" t="n"/>
      <c r="K39" s="9" t="n">
        <v>0</v>
      </c>
      <c r="L39" s="9">
        <f>I39-K39</f>
        <v/>
      </c>
      <c r="M39" s="10" t="n"/>
      <c r="N39" s="9" t="n">
        <v>0</v>
      </c>
      <c r="O39" s="9">
        <f>L39-N39</f>
        <v/>
      </c>
      <c r="P39" s="10" t="n"/>
      <c r="Q39" s="9" t="n">
        <v>0</v>
      </c>
      <c r="R39" s="9">
        <f>O39-Q39</f>
        <v/>
      </c>
      <c r="S39" s="10" t="n"/>
      <c r="T39" s="9" t="n">
        <v>0</v>
      </c>
      <c r="U39" s="9">
        <f>R39-T39</f>
        <v/>
      </c>
      <c r="V39" s="10" t="n"/>
      <c r="W39" s="9" t="n">
        <v>0</v>
      </c>
      <c r="X39" s="9">
        <f>U39-W39</f>
        <v/>
      </c>
      <c r="Y39" s="10" t="n"/>
      <c r="Z39" s="9" t="n">
        <v>0</v>
      </c>
      <c r="AA39" s="9">
        <f>X39-Z39</f>
        <v/>
      </c>
      <c r="AB39" s="10" t="n"/>
      <c r="AC39" s="9" t="n">
        <v>0</v>
      </c>
      <c r="AD39" s="9">
        <f>AA39-AC39</f>
        <v/>
      </c>
      <c r="AE39" s="10" t="n"/>
      <c r="AF39" s="9" t="n">
        <v>4</v>
      </c>
      <c r="AG39" s="9">
        <f>AD39-AF39</f>
        <v/>
      </c>
      <c r="AH39" s="10" t="n"/>
      <c r="AI39" s="9" t="n">
        <v>0</v>
      </c>
      <c r="AJ39" s="9">
        <f>AG39-AI39</f>
        <v/>
      </c>
      <c r="AK39" s="10" t="n"/>
      <c r="AL39" s="9" t="n"/>
      <c r="AM39" s="9">
        <f>AJ39-AL39</f>
        <v/>
      </c>
      <c r="AN39" s="10" t="n"/>
      <c r="AO39" s="9" t="n"/>
      <c r="AP39" s="9">
        <f>AM39-AO39</f>
        <v/>
      </c>
      <c r="AQ39" s="10" t="n"/>
      <c r="AR39" s="9" t="n"/>
      <c r="AS39" s="9">
        <f>AP39-AR39</f>
        <v/>
      </c>
      <c r="AT39" s="10" t="n"/>
      <c r="AU39" s="9" t="n"/>
      <c r="AV39" s="9">
        <f>AS39-AU39</f>
        <v/>
      </c>
      <c r="AW39" s="10" t="n"/>
      <c r="AX39" s="9" t="n"/>
      <c r="AY39" s="9">
        <f>AV39-AX39</f>
        <v/>
      </c>
      <c r="AZ39" s="10" t="n"/>
      <c r="BA39" s="9" t="n"/>
      <c r="BB39" s="9">
        <f>AY39-BA39</f>
        <v/>
      </c>
      <c r="BC39" s="10" t="n"/>
      <c r="BD39" s="9" t="n"/>
      <c r="BE39" s="9">
        <f>BB39-BD39</f>
        <v/>
      </c>
      <c r="BF39" s="10" t="n"/>
      <c r="BG39" s="9" t="n"/>
      <c r="BH39" s="9">
        <f>BE39-BG39</f>
        <v/>
      </c>
      <c r="BI39" s="10" t="n"/>
      <c r="BJ39" s="9" t="n"/>
      <c r="BK39" s="9">
        <f>BH39-BJ39</f>
        <v/>
      </c>
      <c r="BL39" s="10" t="n"/>
      <c r="BM39" s="9" t="n"/>
      <c r="BN39" s="9">
        <f>BK39-BM39</f>
        <v/>
      </c>
      <c r="BO39" s="10" t="n"/>
      <c r="BP39" s="11">
        <f>H39+K39+N39+Q39+T39+W39+Z39+AC39+AF39+AI39+AL39+AO39+AR39+AU39+AX39+BA39+BD39+BG39+BJ39+BM39</f>
        <v/>
      </c>
      <c r="BQ39" s="11">
        <f>G39-BP39</f>
        <v/>
      </c>
    </row>
    <row r="40" ht="30" customHeight="1">
      <c r="B40" s="8" t="inlineStr">
        <is>
          <t>E9-H2 (HU-14)</t>
        </is>
      </c>
      <c r="C40" s="14" t="inlineStr">
        <is>
          <t>Aprobación de cotizaciones</t>
        </is>
      </c>
      <c r="D40" s="14" t="inlineStr">
        <is>
          <t>Flujo de aprobación por otro usuario (RN-05)</t>
        </is>
      </c>
      <c r="E40" s="8" t="inlineStr">
        <is>
          <t>Benjamín</t>
        </is>
      </c>
      <c r="F40" s="8" t="inlineStr">
        <is>
          <t>Hecho</t>
        </is>
      </c>
      <c r="G40" s="8" t="n">
        <v>5</v>
      </c>
      <c r="H40" s="9" t="n">
        <v>0</v>
      </c>
      <c r="I40" s="9">
        <f>G40-H40</f>
        <v/>
      </c>
      <c r="J40" s="10" t="n"/>
      <c r="K40" s="9" t="n">
        <v>0</v>
      </c>
      <c r="L40" s="9">
        <f>I40-K40</f>
        <v/>
      </c>
      <c r="M40" s="10" t="n"/>
      <c r="N40" s="9" t="n">
        <v>0</v>
      </c>
      <c r="O40" s="9">
        <f>L40-N40</f>
        <v/>
      </c>
      <c r="P40" s="10" t="n"/>
      <c r="Q40" s="9" t="n">
        <v>0</v>
      </c>
      <c r="R40" s="9">
        <f>O40-Q40</f>
        <v/>
      </c>
      <c r="S40" s="10" t="n"/>
      <c r="T40" s="9" t="n">
        <v>0</v>
      </c>
      <c r="U40" s="9">
        <f>R40-T40</f>
        <v/>
      </c>
      <c r="V40" s="10" t="n"/>
      <c r="W40" s="9" t="n">
        <v>0</v>
      </c>
      <c r="X40" s="9">
        <f>U40-W40</f>
        <v/>
      </c>
      <c r="Y40" s="10" t="n"/>
      <c r="Z40" s="9" t="n">
        <v>0</v>
      </c>
      <c r="AA40" s="9">
        <f>X40-Z40</f>
        <v/>
      </c>
      <c r="AB40" s="10" t="n"/>
      <c r="AC40" s="9" t="n">
        <v>0</v>
      </c>
      <c r="AD40" s="9">
        <f>AA40-AC40</f>
        <v/>
      </c>
      <c r="AE40" s="10" t="n"/>
      <c r="AF40" s="9" t="n">
        <v>5</v>
      </c>
      <c r="AG40" s="9">
        <f>AD40-AF40</f>
        <v/>
      </c>
      <c r="AH40" s="10" t="n"/>
      <c r="AI40" s="9" t="n">
        <v>0</v>
      </c>
      <c r="AJ40" s="9">
        <f>AG40-AI40</f>
        <v/>
      </c>
      <c r="AK40" s="10" t="n"/>
      <c r="AL40" s="9" t="n"/>
      <c r="AM40" s="9">
        <f>AJ40-AL40</f>
        <v/>
      </c>
      <c r="AN40" s="10" t="n"/>
      <c r="AO40" s="9" t="n"/>
      <c r="AP40" s="9">
        <f>AM40-AO40</f>
        <v/>
      </c>
      <c r="AQ40" s="10" t="n"/>
      <c r="AR40" s="9" t="n"/>
      <c r="AS40" s="9">
        <f>AP40-AR40</f>
        <v/>
      </c>
      <c r="AT40" s="10" t="n"/>
      <c r="AU40" s="9" t="n"/>
      <c r="AV40" s="9">
        <f>AS40-AU40</f>
        <v/>
      </c>
      <c r="AW40" s="10" t="n"/>
      <c r="AX40" s="9" t="n"/>
      <c r="AY40" s="9">
        <f>AV40-AX40</f>
        <v/>
      </c>
      <c r="AZ40" s="10" t="n"/>
      <c r="BA40" s="9" t="n"/>
      <c r="BB40" s="9">
        <f>AY40-BA40</f>
        <v/>
      </c>
      <c r="BC40" s="10" t="n"/>
      <c r="BD40" s="9" t="n"/>
      <c r="BE40" s="9">
        <f>BB40-BD40</f>
        <v/>
      </c>
      <c r="BF40" s="10" t="n"/>
      <c r="BG40" s="9" t="n"/>
      <c r="BH40" s="9">
        <f>BE40-BG40</f>
        <v/>
      </c>
      <c r="BI40" s="10" t="n"/>
      <c r="BJ40" s="9" t="n"/>
      <c r="BK40" s="9">
        <f>BH40-BJ40</f>
        <v/>
      </c>
      <c r="BL40" s="10" t="n"/>
      <c r="BM40" s="9" t="n"/>
      <c r="BN40" s="9">
        <f>BK40-BM40</f>
        <v/>
      </c>
      <c r="BO40" s="10" t="n"/>
      <c r="BP40" s="11">
        <f>H40+K40+N40+Q40+T40+W40+Z40+AC40+AF40+AI40+AL40+AO40+AR40+AU40+AX40+BA40+BD40+BG40+BJ40+BM40</f>
        <v/>
      </c>
      <c r="BQ40" s="11">
        <f>G40-BP40</f>
        <v/>
      </c>
    </row>
    <row r="41" ht="30" customHeight="1">
      <c r="B41" s="8" t="inlineStr">
        <is>
          <t>E9-H2 (HU-14)</t>
        </is>
      </c>
      <c r="C41" s="14" t="inlineStr">
        <is>
          <t>Aprobación de cotizaciones</t>
        </is>
      </c>
      <c r="D41" s="14" t="inlineStr">
        <is>
          <t>Vista de aprobación en el escritorio</t>
        </is>
      </c>
      <c r="E41" s="8" t="inlineStr">
        <is>
          <t>Benjamín</t>
        </is>
      </c>
      <c r="F41" s="8" t="inlineStr">
        <is>
          <t>Hecho</t>
        </is>
      </c>
      <c r="G41" s="8" t="n">
        <v>5</v>
      </c>
      <c r="H41" s="9" t="n">
        <v>0</v>
      </c>
      <c r="I41" s="9">
        <f>G41-H41</f>
        <v/>
      </c>
      <c r="J41" s="10" t="n"/>
      <c r="K41" s="9" t="n">
        <v>0</v>
      </c>
      <c r="L41" s="9">
        <f>I41-K41</f>
        <v/>
      </c>
      <c r="M41" s="10" t="n"/>
      <c r="N41" s="9" t="n">
        <v>0</v>
      </c>
      <c r="O41" s="9">
        <f>L41-N41</f>
        <v/>
      </c>
      <c r="P41" s="10" t="n"/>
      <c r="Q41" s="9" t="n">
        <v>0</v>
      </c>
      <c r="R41" s="9">
        <f>O41-Q41</f>
        <v/>
      </c>
      <c r="S41" s="10" t="n"/>
      <c r="T41" s="9" t="n">
        <v>0</v>
      </c>
      <c r="U41" s="9">
        <f>R41-T41</f>
        <v/>
      </c>
      <c r="V41" s="10" t="n"/>
      <c r="W41" s="9" t="n">
        <v>0</v>
      </c>
      <c r="X41" s="9">
        <f>U41-W41</f>
        <v/>
      </c>
      <c r="Y41" s="10" t="n"/>
      <c r="Z41" s="9" t="n">
        <v>0</v>
      </c>
      <c r="AA41" s="9">
        <f>X41-Z41</f>
        <v/>
      </c>
      <c r="AB41" s="10" t="n"/>
      <c r="AC41" s="9" t="n">
        <v>0</v>
      </c>
      <c r="AD41" s="9">
        <f>AA41-AC41</f>
        <v/>
      </c>
      <c r="AE41" s="10" t="n"/>
      <c r="AF41" s="9" t="n">
        <v>5</v>
      </c>
      <c r="AG41" s="9">
        <f>AD41-AF41</f>
        <v/>
      </c>
      <c r="AH41" s="10" t="n"/>
      <c r="AI41" s="9" t="n">
        <v>0</v>
      </c>
      <c r="AJ41" s="9">
        <f>AG41-AI41</f>
        <v/>
      </c>
      <c r="AK41" s="10" t="n"/>
      <c r="AL41" s="9" t="n"/>
      <c r="AM41" s="9">
        <f>AJ41-AL41</f>
        <v/>
      </c>
      <c r="AN41" s="10" t="n"/>
      <c r="AO41" s="9" t="n"/>
      <c r="AP41" s="9">
        <f>AM41-AO41</f>
        <v/>
      </c>
      <c r="AQ41" s="10" t="n"/>
      <c r="AR41" s="9" t="n"/>
      <c r="AS41" s="9">
        <f>AP41-AR41</f>
        <v/>
      </c>
      <c r="AT41" s="10" t="n"/>
      <c r="AU41" s="9" t="n"/>
      <c r="AV41" s="9">
        <f>AS41-AU41</f>
        <v/>
      </c>
      <c r="AW41" s="10" t="n"/>
      <c r="AX41" s="9" t="n"/>
      <c r="AY41" s="9">
        <f>AV41-AX41</f>
        <v/>
      </c>
      <c r="AZ41" s="10" t="n"/>
      <c r="BA41" s="9" t="n"/>
      <c r="BB41" s="9">
        <f>AY41-BA41</f>
        <v/>
      </c>
      <c r="BC41" s="10" t="n"/>
      <c r="BD41" s="9" t="n"/>
      <c r="BE41" s="9">
        <f>BB41-BD41</f>
        <v/>
      </c>
      <c r="BF41" s="10" t="n"/>
      <c r="BG41" s="9" t="n"/>
      <c r="BH41" s="9">
        <f>BE41-BG41</f>
        <v/>
      </c>
      <c r="BI41" s="10" t="n"/>
      <c r="BJ41" s="9" t="n"/>
      <c r="BK41" s="9">
        <f>BH41-BJ41</f>
        <v/>
      </c>
      <c r="BL41" s="10" t="n"/>
      <c r="BM41" s="9" t="n"/>
      <c r="BN41" s="9">
        <f>BK41-BM41</f>
        <v/>
      </c>
      <c r="BO41" s="10" t="n"/>
      <c r="BP41" s="11">
        <f>H41+K41+N41+Q41+T41+W41+Z41+AC41+AF41+AI41+AL41+AO41+AR41+AU41+AX41+BA41+BD41+BG41+BJ41+BM41</f>
        <v/>
      </c>
      <c r="BQ41" s="11">
        <f>G41-BP41</f>
        <v/>
      </c>
    </row>
    <row r="42" ht="30" customHeight="1">
      <c r="B42" s="8" t="inlineStr">
        <is>
          <t>E9-H2 (HU-14)</t>
        </is>
      </c>
      <c r="C42" s="14" t="inlineStr">
        <is>
          <t>Aprobación de cotizaciones</t>
        </is>
      </c>
      <c r="D42" s="14" t="inlineStr">
        <is>
          <t>Correo de la cotización con Brevo</t>
        </is>
      </c>
      <c r="E42" s="8" t="inlineStr">
        <is>
          <t>Benjamín</t>
        </is>
      </c>
      <c r="F42" s="8" t="inlineStr">
        <is>
          <t>Hecho</t>
        </is>
      </c>
      <c r="G42" s="8" t="n">
        <v>4</v>
      </c>
      <c r="H42" s="9" t="n">
        <v>0</v>
      </c>
      <c r="I42" s="9">
        <f>G42-H42</f>
        <v/>
      </c>
      <c r="J42" s="10" t="n"/>
      <c r="K42" s="9" t="n">
        <v>0</v>
      </c>
      <c r="L42" s="9">
        <f>I42-K42</f>
        <v/>
      </c>
      <c r="M42" s="10" t="n"/>
      <c r="N42" s="9" t="n">
        <v>0</v>
      </c>
      <c r="O42" s="9">
        <f>L42-N42</f>
        <v/>
      </c>
      <c r="P42" s="10" t="n"/>
      <c r="Q42" s="9" t="n">
        <v>0</v>
      </c>
      <c r="R42" s="9">
        <f>O42-Q42</f>
        <v/>
      </c>
      <c r="S42" s="10" t="n"/>
      <c r="T42" s="9" t="n">
        <v>0</v>
      </c>
      <c r="U42" s="9">
        <f>R42-T42</f>
        <v/>
      </c>
      <c r="V42" s="10" t="n"/>
      <c r="W42" s="9" t="n">
        <v>0</v>
      </c>
      <c r="X42" s="9">
        <f>U42-W42</f>
        <v/>
      </c>
      <c r="Y42" s="10" t="n"/>
      <c r="Z42" s="9" t="n">
        <v>0</v>
      </c>
      <c r="AA42" s="9">
        <f>X42-Z42</f>
        <v/>
      </c>
      <c r="AB42" s="10" t="n"/>
      <c r="AC42" s="9" t="n">
        <v>0</v>
      </c>
      <c r="AD42" s="9">
        <f>AA42-AC42</f>
        <v/>
      </c>
      <c r="AE42" s="10" t="n"/>
      <c r="AF42" s="9" t="n">
        <v>4</v>
      </c>
      <c r="AG42" s="9">
        <f>AD42-AF42</f>
        <v/>
      </c>
      <c r="AH42" s="10" t="n"/>
      <c r="AI42" s="9" t="n">
        <v>0</v>
      </c>
      <c r="AJ42" s="9">
        <f>AG42-AI42</f>
        <v/>
      </c>
      <c r="AK42" s="10" t="n"/>
      <c r="AL42" s="9" t="n"/>
      <c r="AM42" s="9">
        <f>AJ42-AL42</f>
        <v/>
      </c>
      <c r="AN42" s="10" t="n"/>
      <c r="AO42" s="9" t="n"/>
      <c r="AP42" s="9">
        <f>AM42-AO42</f>
        <v/>
      </c>
      <c r="AQ42" s="10" t="n"/>
      <c r="AR42" s="9" t="n"/>
      <c r="AS42" s="9">
        <f>AP42-AR42</f>
        <v/>
      </c>
      <c r="AT42" s="10" t="n"/>
      <c r="AU42" s="9" t="n"/>
      <c r="AV42" s="9">
        <f>AS42-AU42</f>
        <v/>
      </c>
      <c r="AW42" s="10" t="n"/>
      <c r="AX42" s="9" t="n"/>
      <c r="AY42" s="9">
        <f>AV42-AX42</f>
        <v/>
      </c>
      <c r="AZ42" s="10" t="n"/>
      <c r="BA42" s="9" t="n"/>
      <c r="BB42" s="9">
        <f>AY42-BA42</f>
        <v/>
      </c>
      <c r="BC42" s="10" t="n"/>
      <c r="BD42" s="9" t="n"/>
      <c r="BE42" s="9">
        <f>BB42-BD42</f>
        <v/>
      </c>
      <c r="BF42" s="10" t="n"/>
      <c r="BG42" s="9" t="n"/>
      <c r="BH42" s="9">
        <f>BE42-BG42</f>
        <v/>
      </c>
      <c r="BI42" s="10" t="n"/>
      <c r="BJ42" s="9" t="n"/>
      <c r="BK42" s="9">
        <f>BH42-BJ42</f>
        <v/>
      </c>
      <c r="BL42" s="10" t="n"/>
      <c r="BM42" s="9" t="n"/>
      <c r="BN42" s="9">
        <f>BK42-BM42</f>
        <v/>
      </c>
      <c r="BO42" s="10" t="n"/>
      <c r="BP42" s="11">
        <f>H42+K42+N42+Q42+T42+W42+Z42+AC42+AF42+AI42+AL42+AO42+AR42+AU42+AX42+BA42+BD42+BG42+BJ42+BM42</f>
        <v/>
      </c>
      <c r="BQ42" s="11">
        <f>G42-BP42</f>
        <v/>
      </c>
    </row>
    <row r="43" ht="30" customHeight="1">
      <c r="B43" s="8" t="inlineStr">
        <is>
          <t>T-05</t>
        </is>
      </c>
      <c r="C43" s="14" t="inlineStr">
        <is>
          <t>Traspasada del Sprint 0</t>
        </is>
      </c>
      <c r="D43" s="14" t="inlineStr">
        <is>
          <t>Documentar arquitectura y matriz de permisos (saldo)</t>
        </is>
      </c>
      <c r="E43" s="8" t="inlineStr">
        <is>
          <t>Benjamín</t>
        </is>
      </c>
      <c r="F43" s="8" t="inlineStr">
        <is>
          <t>Hecho</t>
        </is>
      </c>
      <c r="G43" s="8" t="n">
        <v>2</v>
      </c>
      <c r="H43" s="9" t="n">
        <v>0</v>
      </c>
      <c r="I43" s="9">
        <f>G43-H43</f>
        <v/>
      </c>
      <c r="J43" s="10" t="n"/>
      <c r="K43" s="9" t="n">
        <v>0</v>
      </c>
      <c r="L43" s="9">
        <f>I43-K43</f>
        <v/>
      </c>
      <c r="M43" s="10" t="n"/>
      <c r="N43" s="9" t="n">
        <v>0</v>
      </c>
      <c r="O43" s="9">
        <f>L43-N43</f>
        <v/>
      </c>
      <c r="P43" s="10" t="n"/>
      <c r="Q43" s="9" t="n">
        <v>0</v>
      </c>
      <c r="R43" s="9">
        <f>O43-Q43</f>
        <v/>
      </c>
      <c r="S43" s="10" t="n"/>
      <c r="T43" s="9" t="n">
        <v>0</v>
      </c>
      <c r="U43" s="9">
        <f>R43-T43</f>
        <v/>
      </c>
      <c r="V43" s="10" t="n"/>
      <c r="W43" s="9" t="n">
        <v>0</v>
      </c>
      <c r="X43" s="9">
        <f>U43-W43</f>
        <v/>
      </c>
      <c r="Y43" s="10" t="n"/>
      <c r="Z43" s="9" t="n">
        <v>0</v>
      </c>
      <c r="AA43" s="9">
        <f>X43-Z43</f>
        <v/>
      </c>
      <c r="AB43" s="10" t="n"/>
      <c r="AC43" s="9" t="n">
        <v>0</v>
      </c>
      <c r="AD43" s="9">
        <f>AA43-AC43</f>
        <v/>
      </c>
      <c r="AE43" s="10" t="n"/>
      <c r="AF43" s="9" t="n">
        <v>2</v>
      </c>
      <c r="AG43" s="9">
        <f>AD43-AF43</f>
        <v/>
      </c>
      <c r="AH43" s="10" t="n"/>
      <c r="AI43" s="9" t="n">
        <v>0</v>
      </c>
      <c r="AJ43" s="9">
        <f>AG43-AI43</f>
        <v/>
      </c>
      <c r="AK43" s="10" t="n"/>
      <c r="AL43" s="9" t="n"/>
      <c r="AM43" s="9">
        <f>AJ43-AL43</f>
        <v/>
      </c>
      <c r="AN43" s="10" t="n"/>
      <c r="AO43" s="9" t="n"/>
      <c r="AP43" s="9">
        <f>AM43-AO43</f>
        <v/>
      </c>
      <c r="AQ43" s="10" t="n"/>
      <c r="AR43" s="9" t="n"/>
      <c r="AS43" s="9">
        <f>AP43-AR43</f>
        <v/>
      </c>
      <c r="AT43" s="10" t="n"/>
      <c r="AU43" s="9" t="n"/>
      <c r="AV43" s="9">
        <f>AS43-AU43</f>
        <v/>
      </c>
      <c r="AW43" s="10" t="n"/>
      <c r="AX43" s="9" t="n"/>
      <c r="AY43" s="9">
        <f>AV43-AX43</f>
        <v/>
      </c>
      <c r="AZ43" s="10" t="n"/>
      <c r="BA43" s="9" t="n"/>
      <c r="BB43" s="9">
        <f>AY43-BA43</f>
        <v/>
      </c>
      <c r="BC43" s="10" t="n"/>
      <c r="BD43" s="9" t="n"/>
      <c r="BE43" s="9">
        <f>BB43-BD43</f>
        <v/>
      </c>
      <c r="BF43" s="10" t="n"/>
      <c r="BG43" s="9" t="n"/>
      <c r="BH43" s="9">
        <f>BE43-BG43</f>
        <v/>
      </c>
      <c r="BI43" s="10" t="n"/>
      <c r="BJ43" s="9" t="n"/>
      <c r="BK43" s="9">
        <f>BH43-BJ43</f>
        <v/>
      </c>
      <c r="BL43" s="10" t="n"/>
      <c r="BM43" s="9" t="n"/>
      <c r="BN43" s="9">
        <f>BK43-BM43</f>
        <v/>
      </c>
      <c r="BO43" s="10" t="n"/>
      <c r="BP43" s="11">
        <f>H43+K43+N43+Q43+T43+W43+Z43+AC43+AF43+AI43+AL43+AO43+AR43+AU43+AX43+BA43+BD43+BG43+BJ43+BM43</f>
        <v/>
      </c>
      <c r="BQ43" s="11">
        <f>G43-BP43</f>
        <v/>
      </c>
    </row>
    <row r="44" ht="30" customHeight="1">
      <c r="B44" s="8" t="inlineStr">
        <is>
          <t>T-06</t>
        </is>
      </c>
      <c r="C44" s="14" t="inlineStr">
        <is>
          <t>Traspasada del Sprint 0</t>
        </is>
      </c>
      <c r="D44" s="14" t="inlineStr">
        <is>
          <t>Repositorio y estructura del proyecto (saldo)</t>
        </is>
      </c>
      <c r="E44" s="8" t="inlineStr">
        <is>
          <t>Benjamín</t>
        </is>
      </c>
      <c r="F44" s="8" t="inlineStr">
        <is>
          <t>Hecho</t>
        </is>
      </c>
      <c r="G44" s="8" t="n">
        <v>1</v>
      </c>
      <c r="H44" s="9" t="n">
        <v>0</v>
      </c>
      <c r="I44" s="9">
        <f>G44-H44</f>
        <v/>
      </c>
      <c r="J44" s="10" t="n"/>
      <c r="K44" s="9" t="n">
        <v>0</v>
      </c>
      <c r="L44" s="9">
        <f>I44-K44</f>
        <v/>
      </c>
      <c r="M44" s="10" t="n"/>
      <c r="N44" s="9" t="n">
        <v>0</v>
      </c>
      <c r="O44" s="9">
        <f>L44-N44</f>
        <v/>
      </c>
      <c r="P44" s="10" t="n"/>
      <c r="Q44" s="9" t="n">
        <v>0</v>
      </c>
      <c r="R44" s="9">
        <f>O44-Q44</f>
        <v/>
      </c>
      <c r="S44" s="10" t="n"/>
      <c r="T44" s="9" t="n">
        <v>0</v>
      </c>
      <c r="U44" s="9">
        <f>R44-T44</f>
        <v/>
      </c>
      <c r="V44" s="10" t="n"/>
      <c r="W44" s="9" t="n">
        <v>0</v>
      </c>
      <c r="X44" s="9">
        <f>U44-W44</f>
        <v/>
      </c>
      <c r="Y44" s="10" t="n"/>
      <c r="Z44" s="9" t="n">
        <v>0</v>
      </c>
      <c r="AA44" s="9">
        <f>X44-Z44</f>
        <v/>
      </c>
      <c r="AB44" s="10" t="n"/>
      <c r="AC44" s="9" t="n">
        <v>0</v>
      </c>
      <c r="AD44" s="9">
        <f>AA44-AC44</f>
        <v/>
      </c>
      <c r="AE44" s="10" t="n"/>
      <c r="AF44" s="9" t="n">
        <v>1</v>
      </c>
      <c r="AG44" s="9">
        <f>AD44-AF44</f>
        <v/>
      </c>
      <c r="AH44" s="10" t="n"/>
      <c r="AI44" s="9" t="n">
        <v>0</v>
      </c>
      <c r="AJ44" s="9">
        <f>AG44-AI44</f>
        <v/>
      </c>
      <c r="AK44" s="10" t="n"/>
      <c r="AL44" s="9" t="n"/>
      <c r="AM44" s="9">
        <f>AJ44-AL44</f>
        <v/>
      </c>
      <c r="AN44" s="10" t="n"/>
      <c r="AO44" s="9" t="n"/>
      <c r="AP44" s="9">
        <f>AM44-AO44</f>
        <v/>
      </c>
      <c r="AQ44" s="10" t="n"/>
      <c r="AR44" s="9" t="n"/>
      <c r="AS44" s="9">
        <f>AP44-AR44</f>
        <v/>
      </c>
      <c r="AT44" s="10" t="n"/>
      <c r="AU44" s="9" t="n"/>
      <c r="AV44" s="9">
        <f>AS44-AU44</f>
        <v/>
      </c>
      <c r="AW44" s="10" t="n"/>
      <c r="AX44" s="9" t="n"/>
      <c r="AY44" s="9">
        <f>AV44-AX44</f>
        <v/>
      </c>
      <c r="AZ44" s="10" t="n"/>
      <c r="BA44" s="9" t="n"/>
      <c r="BB44" s="9">
        <f>AY44-BA44</f>
        <v/>
      </c>
      <c r="BC44" s="10" t="n"/>
      <c r="BD44" s="9" t="n"/>
      <c r="BE44" s="9">
        <f>BB44-BD44</f>
        <v/>
      </c>
      <c r="BF44" s="10" t="n"/>
      <c r="BG44" s="9" t="n"/>
      <c r="BH44" s="9">
        <f>BE44-BG44</f>
        <v/>
      </c>
      <c r="BI44" s="10" t="n"/>
      <c r="BJ44" s="9" t="n"/>
      <c r="BK44" s="9">
        <f>BH44-BJ44</f>
        <v/>
      </c>
      <c r="BL44" s="10" t="n"/>
      <c r="BM44" s="9" t="n"/>
      <c r="BN44" s="9">
        <f>BK44-BM44</f>
        <v/>
      </c>
      <c r="BO44" s="10" t="n"/>
      <c r="BP44" s="11">
        <f>H44+K44+N44+Q44+T44+W44+Z44+AC44+AF44+AI44+AL44+AO44+AR44+AU44+AX44+BA44+BD44+BG44+BJ44+BM44</f>
        <v/>
      </c>
      <c r="BQ44" s="11">
        <f>G44-BP44</f>
        <v/>
      </c>
    </row>
    <row r="45" ht="30" customHeight="1">
      <c r="B45" s="8" t="inlineStr">
        <is>
          <t>T-07</t>
        </is>
      </c>
      <c r="C45" s="14" t="inlineStr">
        <is>
          <t>Traspasada del Sprint 0</t>
        </is>
      </c>
      <c r="D45" s="14" t="inlineStr">
        <is>
          <t>Entorno de desarrollo con Docker y PostgreSQL</t>
        </is>
      </c>
      <c r="E45" s="8" t="inlineStr">
        <is>
          <t>Benjamín</t>
        </is>
      </c>
      <c r="F45" s="8" t="inlineStr">
        <is>
          <t>Hecho</t>
        </is>
      </c>
      <c r="G45" s="8" t="n">
        <v>8</v>
      </c>
      <c r="H45" s="9" t="n">
        <v>0</v>
      </c>
      <c r="I45" s="9">
        <f>G45-H45</f>
        <v/>
      </c>
      <c r="J45" s="10" t="n"/>
      <c r="K45" s="9" t="n">
        <v>0</v>
      </c>
      <c r="L45" s="9">
        <f>I45-K45</f>
        <v/>
      </c>
      <c r="M45" s="10" t="n"/>
      <c r="N45" s="9" t="n">
        <v>0</v>
      </c>
      <c r="O45" s="9">
        <f>L45-N45</f>
        <v/>
      </c>
      <c r="P45" s="10" t="n"/>
      <c r="Q45" s="9" t="n">
        <v>0</v>
      </c>
      <c r="R45" s="9">
        <f>O45-Q45</f>
        <v/>
      </c>
      <c r="S45" s="10" t="n"/>
      <c r="T45" s="9" t="n">
        <v>0</v>
      </c>
      <c r="U45" s="9">
        <f>R45-T45</f>
        <v/>
      </c>
      <c r="V45" s="10" t="n"/>
      <c r="W45" s="9" t="n">
        <v>0</v>
      </c>
      <c r="X45" s="9">
        <f>U45-W45</f>
        <v/>
      </c>
      <c r="Y45" s="10" t="n"/>
      <c r="Z45" s="9" t="n">
        <v>0</v>
      </c>
      <c r="AA45" s="9">
        <f>X45-Z45</f>
        <v/>
      </c>
      <c r="AB45" s="10" t="n"/>
      <c r="AC45" s="9" t="n">
        <v>0</v>
      </c>
      <c r="AD45" s="9">
        <f>AA45-AC45</f>
        <v/>
      </c>
      <c r="AE45" s="10" t="n"/>
      <c r="AF45" s="9" t="n">
        <v>8</v>
      </c>
      <c r="AG45" s="9">
        <f>AD45-AF45</f>
        <v/>
      </c>
      <c r="AH45" s="10" t="n"/>
      <c r="AI45" s="9" t="n">
        <v>0</v>
      </c>
      <c r="AJ45" s="9">
        <f>AG45-AI45</f>
        <v/>
      </c>
      <c r="AK45" s="10" t="n"/>
      <c r="AL45" s="9" t="n"/>
      <c r="AM45" s="9">
        <f>AJ45-AL45</f>
        <v/>
      </c>
      <c r="AN45" s="10" t="n"/>
      <c r="AO45" s="9" t="n"/>
      <c r="AP45" s="9">
        <f>AM45-AO45</f>
        <v/>
      </c>
      <c r="AQ45" s="10" t="n"/>
      <c r="AR45" s="9" t="n"/>
      <c r="AS45" s="9">
        <f>AP45-AR45</f>
        <v/>
      </c>
      <c r="AT45" s="10" t="n"/>
      <c r="AU45" s="9" t="n"/>
      <c r="AV45" s="9">
        <f>AS45-AU45</f>
        <v/>
      </c>
      <c r="AW45" s="10" t="n"/>
      <c r="AX45" s="9" t="n"/>
      <c r="AY45" s="9">
        <f>AV45-AX45</f>
        <v/>
      </c>
      <c r="AZ45" s="10" t="n"/>
      <c r="BA45" s="9" t="n"/>
      <c r="BB45" s="9">
        <f>AY45-BA45</f>
        <v/>
      </c>
      <c r="BC45" s="10" t="n"/>
      <c r="BD45" s="9" t="n"/>
      <c r="BE45" s="9">
        <f>BB45-BD45</f>
        <v/>
      </c>
      <c r="BF45" s="10" t="n"/>
      <c r="BG45" s="9" t="n"/>
      <c r="BH45" s="9">
        <f>BE45-BG45</f>
        <v/>
      </c>
      <c r="BI45" s="10" t="n"/>
      <c r="BJ45" s="9" t="n"/>
      <c r="BK45" s="9">
        <f>BH45-BJ45</f>
        <v/>
      </c>
      <c r="BL45" s="10" t="n"/>
      <c r="BM45" s="9" t="n"/>
      <c r="BN45" s="9">
        <f>BK45-BM45</f>
        <v/>
      </c>
      <c r="BO45" s="10" t="n"/>
      <c r="BP45" s="11">
        <f>H45+K45+N45+Q45+T45+W45+Z45+AC45+AF45+AI45+AL45+AO45+AR45+AU45+AX45+BA45+BD45+BG45+BJ45+BM45</f>
        <v/>
      </c>
      <c r="BQ45" s="11">
        <f>G45-BP45</f>
        <v/>
      </c>
    </row>
    <row r="46" ht="30" customHeight="1">
      <c r="B46" s="8" t="inlineStr">
        <is>
          <t>T-08</t>
        </is>
      </c>
      <c r="C46" s="14" t="inlineStr">
        <is>
          <t>Traspasada del Sprint 0</t>
        </is>
      </c>
      <c r="D46" s="14" t="inlineStr">
        <is>
          <t>Pipeline de integración continua en GitHub Actions</t>
        </is>
      </c>
      <c r="E46" s="8" t="inlineStr">
        <is>
          <t>Benjamín</t>
        </is>
      </c>
      <c r="F46" s="8" t="inlineStr">
        <is>
          <t>Hecho</t>
        </is>
      </c>
      <c r="G46" s="8" t="n">
        <v>6</v>
      </c>
      <c r="H46" s="9" t="n">
        <v>0</v>
      </c>
      <c r="I46" s="9">
        <f>G46-H46</f>
        <v/>
      </c>
      <c r="J46" s="10" t="n"/>
      <c r="K46" s="9" t="n">
        <v>0</v>
      </c>
      <c r="L46" s="9">
        <f>I46-K46</f>
        <v/>
      </c>
      <c r="M46" s="10" t="n"/>
      <c r="N46" s="9" t="n">
        <v>0</v>
      </c>
      <c r="O46" s="9">
        <f>L46-N46</f>
        <v/>
      </c>
      <c r="P46" s="10" t="n"/>
      <c r="Q46" s="9" t="n">
        <v>0</v>
      </c>
      <c r="R46" s="9">
        <f>O46-Q46</f>
        <v/>
      </c>
      <c r="S46" s="10" t="n"/>
      <c r="T46" s="9" t="n">
        <v>0</v>
      </c>
      <c r="U46" s="9">
        <f>R46-T46</f>
        <v/>
      </c>
      <c r="V46" s="10" t="n"/>
      <c r="W46" s="9" t="n">
        <v>0</v>
      </c>
      <c r="X46" s="9">
        <f>U46-W46</f>
        <v/>
      </c>
      <c r="Y46" s="10" t="n"/>
      <c r="Z46" s="9" t="n">
        <v>0</v>
      </c>
      <c r="AA46" s="9">
        <f>X46-Z46</f>
        <v/>
      </c>
      <c r="AB46" s="10" t="n"/>
      <c r="AC46" s="9" t="n">
        <v>0</v>
      </c>
      <c r="AD46" s="9">
        <f>AA46-AC46</f>
        <v/>
      </c>
      <c r="AE46" s="10" t="n"/>
      <c r="AF46" s="9" t="n">
        <v>4</v>
      </c>
      <c r="AG46" s="9">
        <f>AD46-AF46</f>
        <v/>
      </c>
      <c r="AH46" s="10" t="n"/>
      <c r="AI46" s="9" t="n">
        <v>2</v>
      </c>
      <c r="AJ46" s="9">
        <f>AG46-AI46</f>
        <v/>
      </c>
      <c r="AK46" s="10" t="n"/>
      <c r="AL46" s="9" t="n"/>
      <c r="AM46" s="9">
        <f>AJ46-AL46</f>
        <v/>
      </c>
      <c r="AN46" s="10" t="n"/>
      <c r="AO46" s="9" t="n"/>
      <c r="AP46" s="9">
        <f>AM46-AO46</f>
        <v/>
      </c>
      <c r="AQ46" s="10" t="n"/>
      <c r="AR46" s="9" t="n"/>
      <c r="AS46" s="9">
        <f>AP46-AR46</f>
        <v/>
      </c>
      <c r="AT46" s="10" t="n"/>
      <c r="AU46" s="9" t="n"/>
      <c r="AV46" s="9">
        <f>AS46-AU46</f>
        <v/>
      </c>
      <c r="AW46" s="10" t="n"/>
      <c r="AX46" s="9" t="n"/>
      <c r="AY46" s="9">
        <f>AV46-AX46</f>
        <v/>
      </c>
      <c r="AZ46" s="10" t="n"/>
      <c r="BA46" s="9" t="n"/>
      <c r="BB46" s="9">
        <f>AY46-BA46</f>
        <v/>
      </c>
      <c r="BC46" s="10" t="n"/>
      <c r="BD46" s="9" t="n"/>
      <c r="BE46" s="9">
        <f>BB46-BD46</f>
        <v/>
      </c>
      <c r="BF46" s="10" t="n"/>
      <c r="BG46" s="9" t="n"/>
      <c r="BH46" s="9">
        <f>BE46-BG46</f>
        <v/>
      </c>
      <c r="BI46" s="10" t="n"/>
      <c r="BJ46" s="9" t="n"/>
      <c r="BK46" s="9">
        <f>BH46-BJ46</f>
        <v/>
      </c>
      <c r="BL46" s="10" t="n"/>
      <c r="BM46" s="9" t="n"/>
      <c r="BN46" s="9">
        <f>BK46-BM46</f>
        <v/>
      </c>
      <c r="BO46" s="10" t="n"/>
      <c r="BP46" s="11">
        <f>H46+K46+N46+Q46+T46+W46+Z46+AC46+AF46+AI46+AL46+AO46+AR46+AU46+AX46+BA46+BD46+BG46+BJ46+BM46</f>
        <v/>
      </c>
      <c r="BQ46" s="11">
        <f>G46-BP46</f>
        <v/>
      </c>
    </row>
    <row r="47" ht="30" customHeight="1">
      <c r="B47" s="8" t="inlineStr">
        <is>
          <t>T-10</t>
        </is>
      </c>
      <c r="C47" s="14" t="inlineStr">
        <is>
          <t>Traspasada del Sprint 0</t>
        </is>
      </c>
      <c r="D47" s="14" t="inlineStr">
        <is>
          <t>Product backlog con criterios de aceptación</t>
        </is>
      </c>
      <c r="E47" s="8" t="inlineStr">
        <is>
          <t>Benjamín</t>
        </is>
      </c>
      <c r="F47" s="8" t="inlineStr">
        <is>
          <t>Hecho</t>
        </is>
      </c>
      <c r="G47" s="8" t="n">
        <v>9</v>
      </c>
      <c r="H47" s="9" t="n">
        <v>0</v>
      </c>
      <c r="I47" s="9">
        <f>G47-H47</f>
        <v/>
      </c>
      <c r="J47" s="10" t="n"/>
      <c r="K47" s="9" t="n">
        <v>0</v>
      </c>
      <c r="L47" s="9">
        <f>I47-K47</f>
        <v/>
      </c>
      <c r="M47" s="10" t="n"/>
      <c r="N47" s="9" t="n">
        <v>0</v>
      </c>
      <c r="O47" s="9">
        <f>L47-N47</f>
        <v/>
      </c>
      <c r="P47" s="10" t="n"/>
      <c r="Q47" s="9" t="n">
        <v>0</v>
      </c>
      <c r="R47" s="9">
        <f>O47-Q47</f>
        <v/>
      </c>
      <c r="S47" s="10" t="n"/>
      <c r="T47" s="9" t="n">
        <v>0</v>
      </c>
      <c r="U47" s="9">
        <f>R47-T47</f>
        <v/>
      </c>
      <c r="V47" s="10" t="n"/>
      <c r="W47" s="9" t="n">
        <v>0</v>
      </c>
      <c r="X47" s="9">
        <f>U47-W47</f>
        <v/>
      </c>
      <c r="Y47" s="10" t="n"/>
      <c r="Z47" s="9" t="n">
        <v>0</v>
      </c>
      <c r="AA47" s="9">
        <f>X47-Z47</f>
        <v/>
      </c>
      <c r="AB47" s="10" t="n"/>
      <c r="AC47" s="9" t="n">
        <v>0</v>
      </c>
      <c r="AD47" s="9">
        <f>AA47-AC47</f>
        <v/>
      </c>
      <c r="AE47" s="10" t="n"/>
      <c r="AF47" s="9" t="n">
        <v>9</v>
      </c>
      <c r="AG47" s="9">
        <f>AD47-AF47</f>
        <v/>
      </c>
      <c r="AH47" s="10" t="n"/>
      <c r="AI47" s="9" t="n">
        <v>0</v>
      </c>
      <c r="AJ47" s="9">
        <f>AG47-AI47</f>
        <v/>
      </c>
      <c r="AK47" s="10" t="n"/>
      <c r="AL47" s="9" t="n"/>
      <c r="AM47" s="9">
        <f>AJ47-AL47</f>
        <v/>
      </c>
      <c r="AN47" s="10" t="n"/>
      <c r="AO47" s="9" t="n"/>
      <c r="AP47" s="9">
        <f>AM47-AO47</f>
        <v/>
      </c>
      <c r="AQ47" s="10" t="n"/>
      <c r="AR47" s="9" t="n"/>
      <c r="AS47" s="9">
        <f>AP47-AR47</f>
        <v/>
      </c>
      <c r="AT47" s="10" t="n"/>
      <c r="AU47" s="9" t="n"/>
      <c r="AV47" s="9">
        <f>AS47-AU47</f>
        <v/>
      </c>
      <c r="AW47" s="10" t="n"/>
      <c r="AX47" s="9" t="n"/>
      <c r="AY47" s="9">
        <f>AV47-AX47</f>
        <v/>
      </c>
      <c r="AZ47" s="10" t="n"/>
      <c r="BA47" s="9" t="n"/>
      <c r="BB47" s="9">
        <f>AY47-BA47</f>
        <v/>
      </c>
      <c r="BC47" s="10" t="n"/>
      <c r="BD47" s="9" t="n"/>
      <c r="BE47" s="9">
        <f>BB47-BD47</f>
        <v/>
      </c>
      <c r="BF47" s="10" t="n"/>
      <c r="BG47" s="9" t="n"/>
      <c r="BH47" s="9">
        <f>BE47-BG47</f>
        <v/>
      </c>
      <c r="BI47" s="10" t="n"/>
      <c r="BJ47" s="9" t="n"/>
      <c r="BK47" s="9">
        <f>BH47-BJ47</f>
        <v/>
      </c>
      <c r="BL47" s="10" t="n"/>
      <c r="BM47" s="9" t="n"/>
      <c r="BN47" s="9">
        <f>BK47-BM47</f>
        <v/>
      </c>
      <c r="BO47" s="10" t="n"/>
      <c r="BP47" s="11">
        <f>H47+K47+N47+Q47+T47+W47+Z47+AC47+AF47+AI47+AL47+AO47+AR47+AU47+AX47+BA47+BD47+BG47+BJ47+BM47</f>
        <v/>
      </c>
      <c r="BQ47" s="11">
        <f>G47-BP47</f>
        <v/>
      </c>
    </row>
    <row r="48">
      <c r="A48" s="15" t="n"/>
      <c r="B48" s="16" t="inlineStr">
        <is>
          <t>Total</t>
        </is>
      </c>
      <c r="C48" s="16" t="n"/>
      <c r="D48" s="16" t="n"/>
      <c r="E48" s="16" t="n"/>
      <c r="F48" s="16" t="n"/>
      <c r="G48" s="16">
        <f>SUM(G6:G47)</f>
        <v/>
      </c>
      <c r="H48" s="17">
        <f>SUM(H6:H47)</f>
        <v/>
      </c>
      <c r="I48" s="17">
        <f>SUM(I6:I47)</f>
        <v/>
      </c>
      <c r="J48" s="18" t="n"/>
      <c r="K48" s="17">
        <f>SUM(K6:K47)</f>
        <v/>
      </c>
      <c r="L48" s="17">
        <f>SUM(L6:L47)</f>
        <v/>
      </c>
      <c r="M48" s="18" t="n"/>
      <c r="N48" s="17">
        <f>SUM(N6:N47)</f>
        <v/>
      </c>
      <c r="O48" s="17">
        <f>SUM(O6:O47)</f>
        <v/>
      </c>
      <c r="P48" s="18" t="n"/>
      <c r="Q48" s="17">
        <f>SUM(Q6:Q47)</f>
        <v/>
      </c>
      <c r="R48" s="17">
        <f>SUM(R6:R47)</f>
        <v/>
      </c>
      <c r="S48" s="18" t="n"/>
      <c r="T48" s="17">
        <f>SUM(T6:T47)</f>
        <v/>
      </c>
      <c r="U48" s="17">
        <f>SUM(U6:U47)</f>
        <v/>
      </c>
      <c r="V48" s="18" t="n"/>
      <c r="W48" s="17">
        <f>SUM(W6:W47)</f>
        <v/>
      </c>
      <c r="X48" s="17">
        <f>SUM(X6:X47)</f>
        <v/>
      </c>
      <c r="Y48" s="18" t="n"/>
      <c r="Z48" s="17">
        <f>SUM(Z6:Z47)</f>
        <v/>
      </c>
      <c r="AA48" s="17">
        <f>SUM(AA6:AA47)</f>
        <v/>
      </c>
      <c r="AB48" s="18" t="n"/>
      <c r="AC48" s="17">
        <f>SUM(AC6:AC47)</f>
        <v/>
      </c>
      <c r="AD48" s="17">
        <f>SUM(AD6:AD47)</f>
        <v/>
      </c>
      <c r="AE48" s="18" t="n"/>
      <c r="AF48" s="17">
        <f>SUM(AF6:AF47)</f>
        <v/>
      </c>
      <c r="AG48" s="17">
        <f>SUM(AG6:AG47)</f>
        <v/>
      </c>
      <c r="AH48" s="18" t="n"/>
      <c r="AI48" s="17">
        <f>SUM(AI6:AI47)</f>
        <v/>
      </c>
      <c r="AJ48" s="17">
        <f>SUM(AJ6:AJ47)</f>
        <v/>
      </c>
      <c r="AK48" s="18" t="n"/>
      <c r="AL48" s="17">
        <f>SUM(AL6:AL47)</f>
        <v/>
      </c>
      <c r="AM48" s="17">
        <f>SUM(AM6:AM47)</f>
        <v/>
      </c>
      <c r="AN48" s="18" t="n"/>
      <c r="AO48" s="17">
        <f>SUM(AO6:AO47)</f>
        <v/>
      </c>
      <c r="AP48" s="17">
        <f>SUM(AP6:AP47)</f>
        <v/>
      </c>
      <c r="AQ48" s="18" t="n"/>
      <c r="AR48" s="17">
        <f>SUM(AR6:AR47)</f>
        <v/>
      </c>
      <c r="AS48" s="17">
        <f>SUM(AS6:AS47)</f>
        <v/>
      </c>
      <c r="AT48" s="18" t="n"/>
      <c r="AU48" s="17">
        <f>SUM(AU6:AU47)</f>
        <v/>
      </c>
      <c r="AV48" s="17">
        <f>SUM(AV6:AV47)</f>
        <v/>
      </c>
      <c r="AW48" s="18" t="n"/>
      <c r="AX48" s="17">
        <f>SUM(AX6:AX47)</f>
        <v/>
      </c>
      <c r="AY48" s="17">
        <f>SUM(AY6:AY47)</f>
        <v/>
      </c>
      <c r="AZ48" s="18" t="n"/>
      <c r="BA48" s="17">
        <f>SUM(BA6:BA47)</f>
        <v/>
      </c>
      <c r="BB48" s="17">
        <f>SUM(BB6:BB47)</f>
        <v/>
      </c>
      <c r="BC48" s="18" t="n"/>
      <c r="BD48" s="17">
        <f>SUM(BD6:BD47)</f>
        <v/>
      </c>
      <c r="BE48" s="17">
        <f>SUM(BE6:BE47)</f>
        <v/>
      </c>
      <c r="BF48" s="18" t="n"/>
      <c r="BG48" s="17">
        <f>SUM(BG6:BG47)</f>
        <v/>
      </c>
      <c r="BH48" s="17">
        <f>SUM(BH6:BH47)</f>
        <v/>
      </c>
      <c r="BI48" s="18" t="n"/>
      <c r="BJ48" s="17">
        <f>SUM(BJ6:BJ47)</f>
        <v/>
      </c>
      <c r="BK48" s="17">
        <f>SUM(BK6:BK47)</f>
        <v/>
      </c>
      <c r="BL48" s="18" t="n"/>
      <c r="BM48" s="17">
        <f>SUM(BM6:BM47)</f>
        <v/>
      </c>
      <c r="BN48" s="17">
        <f>SUM(BN6:BN47)</f>
        <v/>
      </c>
      <c r="BO48" s="18" t="n"/>
      <c r="BP48" s="19">
        <f>SUM(BP6:BP47)</f>
        <v/>
      </c>
      <c r="BQ48" s="19">
        <f>SUM(BQ6:BQ47)</f>
        <v/>
      </c>
    </row>
  </sheetData>
  <mergeCells count="21">
    <mergeCell ref="AX4:AY4"/>
    <mergeCell ref="W4:X4"/>
    <mergeCell ref="BJ4:BK4"/>
    <mergeCell ref="H4:I4"/>
    <mergeCell ref="T4:U4"/>
    <mergeCell ref="AU4:AV4"/>
    <mergeCell ref="AF4:AG4"/>
    <mergeCell ref="BP4:BQ4"/>
    <mergeCell ref="BG4:BH4"/>
    <mergeCell ref="AR4:AS4"/>
    <mergeCell ref="Q4:R4"/>
    <mergeCell ref="AC4:AD4"/>
    <mergeCell ref="AI4:AJ4"/>
    <mergeCell ref="BD4:BE4"/>
    <mergeCell ref="AO4:AP4"/>
    <mergeCell ref="BA4:BB4"/>
    <mergeCell ref="Z4:AA4"/>
    <mergeCell ref="AL4:AM4"/>
    <mergeCell ref="BM4:BN4"/>
    <mergeCell ref="K4:L4"/>
    <mergeCell ref="N4:O4"/>
  </mergeCells>
  <pageMargins left="0.629861111111111" right="0.629861111111111" top="0.747916666666667" bottom="0.747916666666667" header="0.511811023622047" footer="0.511811023622047"/>
  <pageSetup orientation="landscape" scale="69" horizontalDpi="300" verticalDpi="300"/>
  <colBreaks count="4" manualBreakCount="4">
    <brk id="21" min="0" max="1048575" man="1"/>
    <brk id="36" min="0" max="1048575" man="1"/>
    <brk id="52" min="0" max="1048575" man="1"/>
    <brk id="69" min="0" max="1048575" man="1"/>
  </colBreaks>
</worksheet>
</file>

<file path=xl/worksheets/sheet2.xml><?xml version="1.0" encoding="utf-8"?>
<worksheet xmlns="http://schemas.openxmlformats.org/spreadsheetml/2006/main">
  <sheetPr>
    <outlinePr summaryBelow="1" summaryRight="1"/>
    <pageSetUpPr/>
  </sheetPr>
  <dimension ref="B1:C14"/>
  <sheetViews>
    <sheetView view="pageBreakPreview" zoomScaleNormal="100" workbookViewId="0">
      <selection activeCell="C9" sqref="C9"/>
    </sheetView>
  </sheetViews>
  <sheetFormatPr baseColWidth="10" defaultColWidth="11.453125" defaultRowHeight="14.5"/>
  <cols>
    <col width="1.54296875" customWidth="1" style="2" min="1" max="1"/>
    <col width="27.7265625" customWidth="1" style="2" min="2" max="2"/>
    <col width="86" customWidth="1" style="2" min="3" max="3"/>
    <col width="2.81640625" customWidth="1" style="2" min="4" max="4"/>
    <col width="11.453125" customWidth="1" style="2" min="5" max="16384"/>
  </cols>
  <sheetData>
    <row r="1" ht="28.5" customHeight="1">
      <c r="B1" s="3" t="inlineStr">
        <is>
          <t>Lista de tareas de la iteración (Sprint Backlog): Instructivo</t>
        </is>
      </c>
    </row>
    <row r="2" ht="21" customHeight="1">
      <c r="B2" s="4" t="inlineStr">
        <is>
          <t>Elaborado por: pmoinformatica.com</t>
        </is>
      </c>
    </row>
    <row r="4">
      <c r="B4" s="12" t="inlineStr">
        <is>
          <t>Columna</t>
        </is>
      </c>
      <c r="C4" s="12" t="inlineStr">
        <is>
          <t>Instrucciones</t>
        </is>
      </c>
    </row>
    <row r="5" ht="30" customHeight="1">
      <c r="B5" s="8">
        <f>'Sprint Backlog'!B5</f>
        <v/>
      </c>
      <c r="C5" s="8" t="inlineStr">
        <is>
          <t>Código que hace referencia al elemento de la pila de producto (Product Backlog) al cual la tarea de la iteración hace referencia.</t>
        </is>
      </c>
    </row>
    <row r="6" ht="60" customHeight="1">
      <c r="B6" s="8">
        <f>'Sprint Backlog'!C5</f>
        <v/>
      </c>
      <c r="C6" s="8" t="inlineStr">
        <is>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is>
      </c>
    </row>
    <row r="7" ht="60" customHeight="1">
      <c r="B7" s="8" t="inlineStr">
        <is>
          <t>Tarea</t>
        </is>
      </c>
      <c r="C7" s="8" t="inlineStr">
        <is>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is>
      </c>
    </row>
    <row r="8" ht="75" customHeight="1">
      <c r="B8" s="8" t="inlineStr">
        <is>
          <t>Dueño / Voluntario</t>
        </is>
      </c>
      <c r="C8" s="8" t="inlineStr">
        <is>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is>
      </c>
    </row>
    <row r="9" ht="75" customHeight="1">
      <c r="B9" s="8" t="inlineStr">
        <is>
          <t>Estatus</t>
        </is>
      </c>
      <c r="C9" s="8" t="inlineStr">
        <is>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is>
      </c>
    </row>
    <row r="10" ht="45" customHeight="1">
      <c r="B10" s="8" t="inlineStr">
        <is>
          <t>Horas estimadas totales</t>
        </is>
      </c>
      <c r="C10" s="8" t="inlineStr">
        <is>
          <t>Horas que han sido estimadas por el equipo Scrum que serán necesarias para ejecutar la tarea. La asignación de estimados se realiza durante la reunión de planificación de la iteración (Sprint Planning Meeting).</t>
        </is>
      </c>
    </row>
    <row r="11" ht="30" customHeight="1">
      <c r="B11" s="8" t="inlineStr">
        <is>
          <t>Día 1 …. Día n</t>
        </is>
      </c>
      <c r="C11" s="8" t="inlineStr">
        <is>
          <t>Una vez comienza a ejecutarse la iteración, se utilizan las columnas para llevar un registro de las horas que se han consumido en cada tarea y cuantas horas restan para completarla.</t>
        </is>
      </c>
    </row>
    <row r="12">
      <c r="B12" s="8" t="inlineStr">
        <is>
          <t>Cons.</t>
        </is>
      </c>
      <c r="C12" s="8" t="inlineStr">
        <is>
          <t>Horas consumidas en la tarea en el día especificado.</t>
        </is>
      </c>
    </row>
    <row r="13" ht="45" customHeight="1">
      <c r="B13" s="8" t="inlineStr">
        <is>
          <t>Rest.</t>
        </is>
      </c>
      <c r="C13" s="8" t="inlineStr">
        <is>
          <t>Horas que restan luego de registrarse el consumo diario. Se calcula tomando las horas que restaban el día anterior y se resta las horas consumidas en el día. Si se trata del primer día, se restan las horas del día 1 al estimado de horas totales.</t>
        </is>
      </c>
    </row>
    <row r="14" ht="30" customHeight="1">
      <c r="B14" s="8" t="inlineStr">
        <is>
          <t>Total</t>
        </is>
      </c>
      <c r="C14" s="8" t="inlineStr">
        <is>
          <t>Registra la suma de todas las horas consumidas en el Sprint y las horas que restan finalmente. Las horas restantes deberían ser de cero si se logro ejecutar la tarea en su totalidad.</t>
        </is>
      </c>
    </row>
  </sheetData>
  <pageMargins left="0.7" right="0.7" top="0.75" bottom="0.75" header="0.511811023622047" footer="0.511811023622047"/>
  <pageSetup orientation="portrait" paperSize="9" scale="68"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language xmlns:dc="http://purl.org/dc/elements/1.1/">en-US</dc:language>
  <dcterms:created xmlns:dcterms="http://purl.org/dc/terms/" xmlns:xsi="http://www.w3.org/2001/XMLSchema-instance" xsi:type="dcterms:W3CDTF">2012-09-02T03:53:17Z</dcterms:created>
  <dcterms:modified xmlns:dcterms="http://purl.org/dc/terms/" xmlns:xsi="http://www.w3.org/2001/XMLSchema-instance" xsi:type="dcterms:W3CDTF">2026-10-15T02:14:51Z</dcterms:modified>
  <cp:lastModifiedBy>Admusuario</cp:lastModifiedBy>
  <cp:revision>0</cp:revision>
  <cp:lastPrinted>2016-11-01T15:27:35Z</cp:lastPrinted>
</cp:coreProperties>
</file>