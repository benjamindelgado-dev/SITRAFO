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jemplo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6"/>
    </font>
    <font>
      <name val="Calibri"/>
      <charset val="1"/>
      <family val="2"/>
      <sz val="11"/>
    </font>
    <font>
      <name val="Calibri"/>
      <charset val="1"/>
      <family val="2"/>
      <color theme="0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theme="4" tint="0.7999000000000001"/>
        <bgColor rgb="FFD9D9D9"/>
      </patternFill>
    </fill>
    <fill>
      <patternFill patternType="solid">
        <fgColor theme="9" tint="0.3999"/>
        <bgColor rgb="FFD9D9D9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center" vertical="bottom"/>
    </xf>
    <xf numFmtId="0" fontId="0" fillId="2" borderId="2" applyAlignment="1" pivotButton="0" quotePrefix="0" xfId="0">
      <alignment horizontal="center" vertical="bottom"/>
    </xf>
    <xf numFmtId="0" fontId="0" fillId="2" borderId="2" applyAlignment="1" pivotButton="0" quotePrefix="0" xfId="0">
      <alignment horizontal="general" vertical="bottom"/>
    </xf>
    <xf numFmtId="0" fontId="0" fillId="3" borderId="1" applyAlignment="1" applyProtection="1" pivotButton="0" quotePrefix="0" xfId="0">
      <alignment horizontal="general" vertical="bottom"/>
      <protection locked="0" hidden="0"/>
    </xf>
    <xf numFmtId="0" fontId="0" fillId="3" borderId="3" applyAlignment="1" applyProtection="1" pivotButton="0" quotePrefix="0" xfId="0">
      <alignment horizontal="center" vertical="bottom" wrapText="1"/>
      <protection locked="0" hidden="0"/>
    </xf>
    <xf numFmtId="0" fontId="0" fillId="0" borderId="2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10" pivotButton="0" quotePrefix="0" xfId="0"/>
    <xf numFmtId="0" fontId="0" fillId="2" borderId="2" applyAlignment="1" pivotButton="0" quotePrefix="0" xfId="0">
      <alignment horizontal="center" vertical="bottom"/>
    </xf>
    <xf numFmtId="0" fontId="0" fillId="0" borderId="5" pivotButton="0" quotePrefix="0" xfId="0"/>
    <xf numFmtId="0" fontId="0" fillId="2" borderId="2" applyAlignment="1" pivotButton="0" quotePrefix="0" xfId="0">
      <alignment horizontal="general" vertical="bottom"/>
    </xf>
    <xf numFmtId="0" fontId="0" fillId="3" borderId="1" applyAlignment="1" applyProtection="1" pivotButton="0" quotePrefix="0" xfId="0">
      <alignment horizontal="general" vertical="bottom"/>
      <protection locked="0" hidden="0"/>
    </xf>
    <xf numFmtId="0" fontId="0" fillId="3" borderId="3" applyAlignment="1" applyProtection="1" pivotButton="0" quotePrefix="0" xfId="0">
      <alignment horizontal="center" vertical="bottom" wrapText="1"/>
      <protection locked="0" hidden="0"/>
    </xf>
    <xf numFmtId="0" fontId="0" fillId="0" borderId="2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center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B8B8B"/>
      <rgbColor rgb="FF5B9BD5"/>
      <rgbColor rgb="FF993366"/>
      <rgbColor rgb="FFFFFF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BurnDown Trabajo Pendiente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"Horas Reales de producto por realizar"</f>
              <strCache>
                <ptCount val="1"/>
                <pt idx="0">
                  <v>Horas Reales de producto por realizar</v>
                </pt>
              </strCache>
            </strRef>
          </tx>
          <spPr>
            <a:solidFill xmlns:a="http://schemas.openxmlformats.org/drawingml/2006/main">
              <a:srgbClr val="5b9bd5"/>
            </a:solidFill>
            <a:ln xmlns:a="http://schemas.openxmlformats.org/drawingml/2006/main" w="19080">
              <a:solidFill>
                <a:srgbClr val="5b9bd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5b9bd5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10</v>
                  </pt>
                </lvl>
                <lvl>
                  <pt idx="0">
                    <v>9</v>
                  </pt>
                </lvl>
                <lvl>
                  <pt idx="0">
                    <v>8</v>
                  </pt>
                </lvl>
                <lvl>
                  <pt idx="0">
                    <v>7</v>
                  </pt>
                </lvl>
                <lvl>
                  <pt idx="0">
                    <v>6</v>
                  </pt>
                </lvl>
                <lvl>
                  <pt idx="0">
                    <v>5</v>
                  </pt>
                </lvl>
                <lvl>
                  <pt idx="0">
                    <v>4</v>
                  </pt>
                </lvl>
                <lvl>
                  <pt idx="0">
                    <v>3</v>
                  </pt>
                </lvl>
                <lvl>
                  <pt idx="0">
                    <v>2</v>
                  </pt>
                </lvl>
                <lvl>
                  <pt idx="0">
                    <v>1</v>
                  </pt>
                </lvl>
              </multiLvlStrCache>
              <f>Ejemplo1!$C$4:$L$4</f>
            </multiLvlStrRef>
          </cat>
          <val>
            <numRef>
              <f>Ejemplo1!$D$26:$M$26</f>
              <numCache>
                <formatCode>General</formatCode>
                <ptCount val="10"/>
                <pt idx="0">
                  <v>81</v>
                </pt>
                <pt idx="1">
                  <v>55</v>
                </pt>
                <pt idx="2">
                  <v>34</v>
                </pt>
                <pt idx="3">
                  <v>32</v>
                </pt>
                <pt idx="4">
                  <v>30</v>
                </pt>
                <pt idx="5">
                  <v>29</v>
                </pt>
                <pt idx="6">
                  <v>29</v>
                </pt>
                <pt idx="7">
                  <v>29</v>
                </pt>
                <pt idx="8">
                  <v>29</v>
                </pt>
                <pt idx="9">
                  <v>29</v>
                </pt>
              </numCache>
            </numRef>
          </val>
          <smooth val="0"/>
        </ser>
        <ser>
          <idx val="1"/>
          <order val="1"/>
          <tx>
            <strRef>
              <f>"Horas Estimadas de producto por realizar"</f>
              <strCache>
                <ptCount val="1"/>
                <pt idx="0">
                  <v>Horas Estimadas de producto por realizar</v>
                </pt>
              </strCache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 w="19080">
              <a:solidFill>
                <a:srgbClr val="ed7d3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multiLvlStrRef>
              <multiLvlStrCache>
                <lvl>
                  <pt idx="0">
                    <v>10</v>
                  </pt>
                </lvl>
                <lvl>
                  <pt idx="0">
                    <v>9</v>
                  </pt>
                </lvl>
                <lvl>
                  <pt idx="0">
                    <v>8</v>
                  </pt>
                </lvl>
                <lvl>
                  <pt idx="0">
                    <v>7</v>
                  </pt>
                </lvl>
                <lvl>
                  <pt idx="0">
                    <v>6</v>
                  </pt>
                </lvl>
                <lvl>
                  <pt idx="0">
                    <v>5</v>
                  </pt>
                </lvl>
                <lvl>
                  <pt idx="0">
                    <v>4</v>
                  </pt>
                </lvl>
                <lvl>
                  <pt idx="0">
                    <v>3</v>
                  </pt>
                </lvl>
                <lvl>
                  <pt idx="0">
                    <v>2</v>
                  </pt>
                </lvl>
                <lvl>
                  <pt idx="0">
                    <v>1</v>
                  </pt>
                </lvl>
              </multiLvlStrCache>
              <f>Ejemplo1!$C$4:$L$4</f>
            </multiLvlStrRef>
          </cat>
          <val>
            <numRef>
              <f>Ejemplo1!$D$28:$M$28</f>
              <numCache>
                <formatCode>General</formatCode>
                <ptCount val="10"/>
                <pt idx="0">
                  <v>93.59999999999999</v>
                </pt>
                <pt idx="1">
                  <v>83.2</v>
                </pt>
                <pt idx="2">
                  <v>72.8</v>
                </pt>
                <pt idx="3">
                  <v>62.4</v>
                </pt>
                <pt idx="4">
                  <v>52</v>
                </pt>
                <pt idx="5">
                  <v>41.6</v>
                </pt>
                <pt idx="6">
                  <v>31.2</v>
                </pt>
                <pt idx="7">
                  <v>20.8</v>
                </pt>
                <pt idx="8">
                  <v>10.4</v>
                </pt>
                <pt idx="9">
                  <v>0</v>
                </pt>
              </numCache>
            </numRef>
          </val>
          <smooth val="0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1"/>
        <axId val="2484260"/>
        <axId val="8089905"/>
      </lineChart>
      <catAx>
        <axId val="2484260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Día del sprint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8089905"/>
        <crosses val="autoZero"/>
        <auto val="1"/>
        <lblAlgn val="ctr"/>
        <lblOffset val="100"/>
        <noMultiLvlLbl val="0"/>
      </catAx>
      <valAx>
        <axId val="8089905"/>
        <scaling>
          <orientation val="minMax"/>
        </scaling>
        <delete val="0"/>
        <axPos val="l"/>
        <majorGridlines>
          <spPr>
            <a:ln xmlns:a="http://schemas.openxmlformats.org/drawingml/2006/main" w="6480">
              <a:solidFill>
                <a:srgbClr val="8b8b8b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Horas restantes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6480">
            <a:solidFill>
              <a:srgbClr val="8b8b8b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48426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31</row>
      <rowOff>0</rowOff>
    </from>
    <to>
      <col>15</col>
      <colOff>231840</colOff>
      <row>46</row>
      <rowOff>164520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W39"/>
  <sheetViews>
    <sheetView showFormulas="0" showGridLines="1" showRowColHeaders="1" showZeros="1" rightToLeft="0" tabSelected="1" showOutlineSymbols="1" defaultGridColor="1" view="normal" topLeftCell="A1" colorId="64" zoomScale="80" zoomScaleNormal="80" zoomScalePageLayoutView="100" workbookViewId="0">
      <selection pane="topLeft" activeCell="C11" activeCellId="0" sqref="C11"/>
    </sheetView>
  </sheetViews>
  <sheetFormatPr baseColWidth="8" defaultColWidth="10.6796875" defaultRowHeight="14.25" zeroHeight="0" outlineLevelRow="0"/>
  <cols>
    <col width="26.33" customWidth="1" style="15" min="1" max="1"/>
    <col width="17" customWidth="1" style="15" min="2" max="2"/>
    <col width="4" customWidth="1" style="15" min="3" max="3"/>
    <col width="3.44" customWidth="1" style="15" min="4" max="22"/>
  </cols>
  <sheetData>
    <row r="1" ht="21" customHeight="1" s="16">
      <c r="A1" s="17" t="inlineStr">
        <is>
          <t>SITRAFO — Control del Sprint 0 de 10 días (Fase 1)</t>
        </is>
      </c>
      <c r="G1" s="15" t="inlineStr">
        <is>
          <t>Modifique la zona con color verde</t>
        </is>
      </c>
    </row>
    <row r="3" ht="14.25" customHeight="1" s="16">
      <c r="A3" s="18" t="inlineStr">
        <is>
          <t xml:space="preserve">Tareas </t>
        </is>
      </c>
      <c r="B3" s="18" t="inlineStr">
        <is>
          <t>horas estimadas</t>
        </is>
      </c>
      <c r="C3" s="18" t="inlineStr">
        <is>
          <t>DIA</t>
        </is>
      </c>
      <c r="D3" s="19" t="n"/>
      <c r="E3" s="19" t="n"/>
      <c r="F3" s="19" t="n"/>
      <c r="G3" s="19" t="n"/>
      <c r="H3" s="19" t="n"/>
      <c r="I3" s="19" t="n"/>
      <c r="J3" s="19" t="n"/>
      <c r="K3" s="19" t="n"/>
      <c r="L3" s="20" t="n"/>
      <c r="M3" s="18" t="inlineStr">
        <is>
          <t>Total</t>
        </is>
      </c>
      <c r="W3" s="21" t="n"/>
    </row>
    <row r="4" ht="14.25" customHeight="1" s="16">
      <c r="A4" s="22" t="n"/>
      <c r="B4" s="22" t="n"/>
      <c r="C4" s="23" t="n">
        <v>1</v>
      </c>
      <c r="D4" s="23" t="n">
        <v>2</v>
      </c>
      <c r="E4" s="23" t="n">
        <v>3</v>
      </c>
      <c r="F4" s="23" t="n">
        <v>4</v>
      </c>
      <c r="G4" s="23" t="n">
        <v>5</v>
      </c>
      <c r="H4" s="23" t="n">
        <v>6</v>
      </c>
      <c r="I4" s="23" t="n">
        <v>7</v>
      </c>
      <c r="J4" s="23" t="n">
        <v>8</v>
      </c>
      <c r="K4" s="23" t="n">
        <v>9</v>
      </c>
      <c r="L4" s="23" t="n">
        <v>10</v>
      </c>
      <c r="M4" s="22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</row>
    <row r="5" ht="14.25" customHeight="1" s="16">
      <c r="A5" s="24" t="inlineStr">
        <is>
          <t>T-01</t>
        </is>
      </c>
      <c r="B5" s="25" t="n">
        <v>12</v>
      </c>
      <c r="C5" s="24" t="n">
        <v>6</v>
      </c>
      <c r="D5" s="24" t="n">
        <v>6</v>
      </c>
      <c r="E5" s="24" t="n">
        <v>0</v>
      </c>
      <c r="F5" s="24" t="n">
        <v>0</v>
      </c>
      <c r="G5" s="24" t="n">
        <v>0</v>
      </c>
      <c r="H5" s="24" t="n">
        <v>0</v>
      </c>
      <c r="I5" s="24" t="n">
        <v>0</v>
      </c>
      <c r="J5" s="24" t="n">
        <v>0</v>
      </c>
      <c r="K5" s="24" t="n">
        <v>0</v>
      </c>
      <c r="L5" s="24" t="n">
        <v>0</v>
      </c>
      <c r="M5" s="24">
        <f>SUM(C5:L5)</f>
        <v/>
      </c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6">
        <f>SUM(C5:V5)</f>
        <v/>
      </c>
    </row>
    <row r="6" ht="14.25" customHeight="1" s="16">
      <c r="A6" s="24" t="inlineStr">
        <is>
          <t>T-02</t>
        </is>
      </c>
      <c r="B6" s="25" t="n">
        <v>20</v>
      </c>
      <c r="C6" s="24" t="n">
        <v>5</v>
      </c>
      <c r="D6" s="24" t="n">
        <v>6</v>
      </c>
      <c r="E6" s="24" t="n">
        <v>9</v>
      </c>
      <c r="F6" s="24" t="n">
        <v>0</v>
      </c>
      <c r="G6" s="24" t="n">
        <v>0</v>
      </c>
      <c r="H6" s="24" t="n">
        <v>0</v>
      </c>
      <c r="I6" s="24" t="n">
        <v>0</v>
      </c>
      <c r="J6" s="24" t="n">
        <v>0</v>
      </c>
      <c r="K6" s="24" t="n">
        <v>0</v>
      </c>
      <c r="L6" s="24" t="n">
        <v>0</v>
      </c>
      <c r="M6" s="24">
        <f>SUM(C6:L6)</f>
        <v/>
      </c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7">
        <f>SUM(C6:V6)</f>
        <v/>
      </c>
    </row>
    <row r="7" ht="14.25" customHeight="1" s="16">
      <c r="A7" s="24" t="inlineStr">
        <is>
          <t>T-03</t>
        </is>
      </c>
      <c r="B7" s="25" t="n">
        <v>16</v>
      </c>
      <c r="C7" s="24" t="n">
        <v>4</v>
      </c>
      <c r="D7" s="24" t="n">
        <v>5</v>
      </c>
      <c r="E7" s="24" t="n">
        <v>7</v>
      </c>
      <c r="F7" s="24" t="n">
        <v>0</v>
      </c>
      <c r="G7" s="24" t="n">
        <v>0</v>
      </c>
      <c r="H7" s="24" t="n">
        <v>0</v>
      </c>
      <c r="I7" s="24" t="n">
        <v>0</v>
      </c>
      <c r="J7" s="24" t="n">
        <v>0</v>
      </c>
      <c r="K7" s="24" t="n">
        <v>0</v>
      </c>
      <c r="L7" s="24" t="n">
        <v>0</v>
      </c>
      <c r="M7" s="24">
        <f>SUM(C7:L7)</f>
        <v/>
      </c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7">
        <f>SUM(C7:V7)</f>
        <v/>
      </c>
    </row>
    <row r="8" ht="14.25" customHeight="1" s="16">
      <c r="A8" s="24" t="inlineStr">
        <is>
          <t>T-04</t>
        </is>
      </c>
      <c r="B8" s="25" t="n">
        <v>14</v>
      </c>
      <c r="C8" s="24" t="n">
        <v>5</v>
      </c>
      <c r="D8" s="24" t="n">
        <v>6</v>
      </c>
      <c r="E8" s="24" t="n">
        <v>3</v>
      </c>
      <c r="F8" s="24" t="n">
        <v>0</v>
      </c>
      <c r="G8" s="24" t="n">
        <v>0</v>
      </c>
      <c r="H8" s="24" t="n">
        <v>0</v>
      </c>
      <c r="I8" s="24" t="n">
        <v>0</v>
      </c>
      <c r="J8" s="24" t="n">
        <v>0</v>
      </c>
      <c r="K8" s="24" t="n">
        <v>0</v>
      </c>
      <c r="L8" s="24" t="n">
        <v>0</v>
      </c>
      <c r="M8" s="24">
        <f>SUM(C8:L8)</f>
        <v/>
      </c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7">
        <f>SUM(C8:V8)</f>
        <v/>
      </c>
    </row>
    <row r="9" ht="14.25" customHeight="1" s="16">
      <c r="A9" s="24" t="inlineStr">
        <is>
          <t>T-05</t>
        </is>
      </c>
      <c r="B9" s="25" t="n">
        <v>10</v>
      </c>
      <c r="C9" s="24" t="n">
        <v>2</v>
      </c>
      <c r="D9" s="24" t="n">
        <v>2</v>
      </c>
      <c r="E9" s="24" t="n">
        <v>1</v>
      </c>
      <c r="F9" s="24" t="n">
        <v>1</v>
      </c>
      <c r="G9" s="24" t="n">
        <v>1</v>
      </c>
      <c r="H9" s="24" t="n">
        <v>1</v>
      </c>
      <c r="I9" s="24" t="n">
        <v>0</v>
      </c>
      <c r="J9" s="24" t="n">
        <v>0</v>
      </c>
      <c r="K9" s="24" t="n">
        <v>0</v>
      </c>
      <c r="L9" s="24" t="n">
        <v>0</v>
      </c>
      <c r="M9" s="24">
        <f>SUM(C9:L9)</f>
        <v/>
      </c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7">
        <f>SUM(C9:V9)</f>
        <v/>
      </c>
    </row>
    <row r="10" ht="14.25" customHeight="1" s="16">
      <c r="A10" s="24" t="inlineStr">
        <is>
          <t>T-06</t>
        </is>
      </c>
      <c r="B10" s="25" t="n">
        <v>6</v>
      </c>
      <c r="C10" s="24" t="n">
        <v>1</v>
      </c>
      <c r="D10" s="24" t="n">
        <v>1</v>
      </c>
      <c r="E10" s="24" t="n">
        <v>1</v>
      </c>
      <c r="F10" s="24" t="n">
        <v>1</v>
      </c>
      <c r="G10" s="24" t="n">
        <v>1</v>
      </c>
      <c r="H10" s="24" t="n">
        <v>0</v>
      </c>
      <c r="I10" s="24" t="n">
        <v>0</v>
      </c>
      <c r="J10" s="24" t="n">
        <v>0</v>
      </c>
      <c r="K10" s="24" t="n">
        <v>0</v>
      </c>
      <c r="L10" s="24" t="n">
        <v>0</v>
      </c>
      <c r="M10" s="24">
        <f>SUM(C10:L10)</f>
        <v/>
      </c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7">
        <f>SUM(C10:V10)</f>
        <v/>
      </c>
    </row>
    <row r="11" ht="14.25" customHeight="1" s="16">
      <c r="A11" s="24" t="inlineStr">
        <is>
          <t>T-07</t>
        </is>
      </c>
      <c r="B11" s="25" t="n">
        <v>8</v>
      </c>
      <c r="C11" s="24" t="n">
        <v>0</v>
      </c>
      <c r="D11" s="24" t="n">
        <v>0</v>
      </c>
      <c r="E11" s="24" t="n">
        <v>0</v>
      </c>
      <c r="F11" s="24" t="n">
        <v>0</v>
      </c>
      <c r="G11" s="24" t="n">
        <v>0</v>
      </c>
      <c r="H11" s="24" t="n">
        <v>0</v>
      </c>
      <c r="I11" s="24" t="n">
        <v>0</v>
      </c>
      <c r="J11" s="24" t="n">
        <v>0</v>
      </c>
      <c r="K11" s="24" t="n">
        <v>0</v>
      </c>
      <c r="L11" s="24" t="n">
        <v>0</v>
      </c>
      <c r="M11" s="24">
        <f>SUM(C11:L11)</f>
        <v/>
      </c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7">
        <f>SUM(C11:V11)</f>
        <v/>
      </c>
    </row>
    <row r="12" ht="14.25" customHeight="1" s="16">
      <c r="A12" s="24" t="inlineStr">
        <is>
          <t>T-08</t>
        </is>
      </c>
      <c r="B12" s="25" t="n">
        <v>6</v>
      </c>
      <c r="C12" s="24" t="n">
        <v>0</v>
      </c>
      <c r="D12" s="24" t="n">
        <v>0</v>
      </c>
      <c r="E12" s="24" t="n">
        <v>0</v>
      </c>
      <c r="F12" s="24" t="n">
        <v>0</v>
      </c>
      <c r="G12" s="24" t="n">
        <v>0</v>
      </c>
      <c r="H12" s="24" t="n">
        <v>0</v>
      </c>
      <c r="I12" s="24" t="n">
        <v>0</v>
      </c>
      <c r="J12" s="24" t="n">
        <v>0</v>
      </c>
      <c r="K12" s="24" t="n">
        <v>0</v>
      </c>
      <c r="L12" s="24" t="n">
        <v>0</v>
      </c>
      <c r="M12" s="24">
        <f>SUM(C12:L12)</f>
        <v/>
      </c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7">
        <f>SUM(C12:V12)</f>
        <v/>
      </c>
    </row>
    <row r="13" ht="14.25" customHeight="1" s="16">
      <c r="A13" s="24" t="inlineStr">
        <is>
          <t>T-09</t>
        </is>
      </c>
      <c r="B13" s="25" t="n">
        <v>3</v>
      </c>
      <c r="C13" s="24" t="n">
        <v>0</v>
      </c>
      <c r="D13" s="24" t="n">
        <v>0</v>
      </c>
      <c r="E13" s="24" t="n">
        <v>0</v>
      </c>
      <c r="F13" s="24" t="n">
        <v>0</v>
      </c>
      <c r="G13" s="24" t="n">
        <v>0</v>
      </c>
      <c r="H13" s="24" t="n">
        <v>0</v>
      </c>
      <c r="I13" s="24" t="n">
        <v>0</v>
      </c>
      <c r="J13" s="24" t="n">
        <v>0</v>
      </c>
      <c r="K13" s="24" t="n">
        <v>0</v>
      </c>
      <c r="L13" s="24" t="n">
        <v>0</v>
      </c>
      <c r="M13" s="24">
        <f>SUM(C13:L13)</f>
        <v/>
      </c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7">
        <f>SUM(C13:V13)</f>
        <v/>
      </c>
    </row>
    <row r="14" ht="14.25" customHeight="1" s="16">
      <c r="A14" s="24" t="inlineStr">
        <is>
          <t>T-10</t>
        </is>
      </c>
      <c r="B14" s="25" t="n">
        <v>9</v>
      </c>
      <c r="C14" s="24" t="n">
        <v>0</v>
      </c>
      <c r="D14" s="24" t="n">
        <v>0</v>
      </c>
      <c r="E14" s="24" t="n">
        <v>0</v>
      </c>
      <c r="F14" s="24" t="n">
        <v>0</v>
      </c>
      <c r="G14" s="24" t="n">
        <v>0</v>
      </c>
      <c r="H14" s="24" t="n">
        <v>0</v>
      </c>
      <c r="I14" s="24" t="n">
        <v>0</v>
      </c>
      <c r="J14" s="24" t="n">
        <v>0</v>
      </c>
      <c r="K14" s="24" t="n">
        <v>0</v>
      </c>
      <c r="L14" s="24" t="n">
        <v>0</v>
      </c>
      <c r="M14" s="24">
        <f>SUM(C14:L14)</f>
        <v/>
      </c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7">
        <f>SUM(C14:V14)</f>
        <v/>
      </c>
    </row>
    <row r="15" ht="14.25" customHeight="1" s="16">
      <c r="A15" s="24" t="n"/>
      <c r="B15" s="25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7" t="n"/>
    </row>
    <row r="16" ht="14.25" customHeight="1" s="16">
      <c r="A16" s="24" t="n"/>
      <c r="B16" s="25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7" t="n"/>
    </row>
    <row r="17" ht="14.25" customHeight="1" s="16">
      <c r="A17" s="24" t="n"/>
      <c r="B17" s="25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7" t="n"/>
    </row>
    <row r="18" ht="14.25" customHeight="1" s="16">
      <c r="A18" s="24" t="n"/>
      <c r="B18" s="25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7" t="n"/>
    </row>
    <row r="19" ht="14.25" customHeight="1" s="16">
      <c r="A19" s="24" t="n"/>
      <c r="B19" s="25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7" t="n"/>
    </row>
    <row r="20" ht="14.25" customHeight="1" s="16">
      <c r="A20" s="24" t="n"/>
      <c r="B20" s="25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7" t="n"/>
    </row>
    <row r="21" ht="14.25" customHeight="1" s="16">
      <c r="A21" s="24" t="n"/>
      <c r="B21" s="25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7" t="n"/>
    </row>
    <row r="22" ht="14.25" customHeight="1" s="16">
      <c r="A22" s="24" t="n"/>
      <c r="B22" s="25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7" t="n"/>
    </row>
    <row r="23" ht="14.25" customHeight="1" s="16">
      <c r="A23" s="24" t="n"/>
      <c r="B23" s="25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7" t="n"/>
    </row>
    <row r="24" ht="14.25" customHeight="1" s="16">
      <c r="A24" s="24" t="n"/>
      <c r="B24" s="25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8" t="n"/>
    </row>
    <row r="25" ht="14.25" customHeight="1" s="16"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29" t="n"/>
      <c r="R25" s="29" t="n"/>
      <c r="S25" s="29" t="n"/>
      <c r="T25" s="29" t="n"/>
      <c r="U25" s="29" t="n"/>
      <c r="V25" s="29" t="n"/>
      <c r="W25" s="29" t="n"/>
    </row>
    <row r="26" ht="14.25" customHeight="1" s="16">
      <c r="B26" s="30">
        <f>SUM(B5:B14)</f>
        <v/>
      </c>
      <c r="C26" s="30">
        <f>B26</f>
        <v/>
      </c>
      <c r="D26" s="30">
        <f>C26-SUM(C5:C14)</f>
        <v/>
      </c>
      <c r="E26" s="30">
        <f>D26-SUM(D5:D14)</f>
        <v/>
      </c>
      <c r="F26" s="30">
        <f>E26-SUM(E5:E14)</f>
        <v/>
      </c>
      <c r="G26" s="30">
        <f>F26-SUM(F5:F14)</f>
        <v/>
      </c>
      <c r="H26" s="30">
        <f>G26-SUM(G5:G14)</f>
        <v/>
      </c>
      <c r="I26" s="30">
        <f>H26-SUM(H5:H14)</f>
        <v/>
      </c>
      <c r="J26" s="30">
        <f>I26-SUM(I5:I14)</f>
        <v/>
      </c>
      <c r="K26" s="30">
        <f>J26-SUM(J5:J14)</f>
        <v/>
      </c>
      <c r="L26" s="30">
        <f>K26-SUM(K5:K14)</f>
        <v/>
      </c>
      <c r="M26" s="30">
        <f>L26-SUM(L5:L14)</f>
        <v/>
      </c>
      <c r="N26" s="30" t="n"/>
      <c r="O26" s="30" t="n"/>
      <c r="P26" s="30" t="n"/>
      <c r="Q26" s="30" t="n"/>
      <c r="R26" s="30" t="n"/>
      <c r="S26" s="30" t="n"/>
      <c r="T26" s="30" t="n"/>
      <c r="U26" s="30" t="n"/>
      <c r="V26" s="30" t="n"/>
      <c r="W26" s="30" t="n"/>
    </row>
    <row r="27" ht="28.5" customHeight="1" s="16">
      <c r="A27" s="31" t="inlineStr">
        <is>
          <t>Horas Reales de producto por realizar</t>
        </is>
      </c>
      <c r="B27" s="15">
        <f>C26</f>
        <v/>
      </c>
      <c r="C27" s="15">
        <f>D26</f>
        <v/>
      </c>
      <c r="D27" s="15">
        <f>E26</f>
        <v/>
      </c>
      <c r="E27" s="15">
        <f>F26</f>
        <v/>
      </c>
      <c r="F27" s="15">
        <f>G26</f>
        <v/>
      </c>
      <c r="G27" s="15">
        <f>H26</f>
        <v/>
      </c>
      <c r="H27" s="15">
        <f>I26</f>
        <v/>
      </c>
      <c r="I27" s="15">
        <f>J26</f>
        <v/>
      </c>
      <c r="J27" s="15">
        <f>K26</f>
        <v/>
      </c>
      <c r="K27" s="15">
        <f>L26</f>
        <v/>
      </c>
      <c r="L27" s="15">
        <f>M26</f>
        <v/>
      </c>
    </row>
    <row r="28" ht="14.25" customHeight="1" s="16">
      <c r="B28" s="30">
        <f>SUM(B5:B14)</f>
        <v/>
      </c>
      <c r="C28" s="30">
        <f>SUM(B5:B14)</f>
        <v/>
      </c>
      <c r="D28" s="30">
        <f>C28-(SUM($B$5:$B$14)/10)</f>
        <v/>
      </c>
      <c r="E28" s="30">
        <f>D28-(SUM($B$5:$B$14)/10)</f>
        <v/>
      </c>
      <c r="F28" s="30">
        <f>E28-(SUM($B$5:$B$14)/10)</f>
        <v/>
      </c>
      <c r="G28" s="30">
        <f>F28-(SUM($B$5:$B$14)/10)</f>
        <v/>
      </c>
      <c r="H28" s="30">
        <f>G28-(SUM($B$5:$B$14)/10)</f>
        <v/>
      </c>
      <c r="I28" s="30">
        <f>H28-(SUM($B$5:$B$14)/10)</f>
        <v/>
      </c>
      <c r="J28" s="30">
        <f>I28-(SUM($B$5:$B$14)/10)</f>
        <v/>
      </c>
      <c r="K28" s="30">
        <f>J28-(SUM($B$5:$B$14)/10)</f>
        <v/>
      </c>
      <c r="L28" s="30">
        <f>K28-(SUM($B$5:$B$14)/10)</f>
        <v/>
      </c>
      <c r="M28" s="30">
        <f>L28-(SUM($B$5:$B$14)/10)</f>
        <v/>
      </c>
      <c r="N28" s="30" t="n"/>
      <c r="O28" s="30" t="n"/>
      <c r="P28" s="30" t="n"/>
      <c r="Q28" s="30" t="n"/>
      <c r="R28" s="30" t="n"/>
      <c r="S28" s="30" t="n"/>
      <c r="T28" s="30" t="n"/>
      <c r="U28" s="30" t="n"/>
      <c r="V28" s="30" t="n"/>
      <c r="W28" s="30" t="n"/>
    </row>
    <row r="29" ht="28.5" customHeight="1" s="16">
      <c r="A29" s="31" t="inlineStr">
        <is>
          <t>Horas Estimadas de producto por realizar</t>
        </is>
      </c>
      <c r="B29" s="29">
        <f>C28</f>
        <v/>
      </c>
      <c r="C29" s="29">
        <f>D28</f>
        <v/>
      </c>
      <c r="D29" s="29">
        <f>E28</f>
        <v/>
      </c>
      <c r="E29" s="29">
        <f>F28</f>
        <v/>
      </c>
      <c r="F29" s="29">
        <f>G28</f>
        <v/>
      </c>
      <c r="G29" s="29">
        <f>H28</f>
        <v/>
      </c>
      <c r="H29" s="29">
        <f>I28</f>
        <v/>
      </c>
      <c r="I29" s="29">
        <f>J28</f>
        <v/>
      </c>
      <c r="J29" s="29">
        <f>K28</f>
        <v/>
      </c>
      <c r="K29" s="29">
        <f>L28</f>
        <v/>
      </c>
      <c r="L29" s="29">
        <f>M28</f>
        <v/>
      </c>
      <c r="M29" s="29" t="n"/>
      <c r="N29" s="29" t="n"/>
      <c r="O29" s="29" t="n"/>
      <c r="P29" s="29" t="n"/>
      <c r="Q29" s="29" t="n"/>
      <c r="R29" s="29" t="n"/>
      <c r="S29" s="29" t="n"/>
      <c r="T29" s="29" t="n"/>
      <c r="U29" s="29" t="n"/>
      <c r="V29" s="29" t="n"/>
      <c r="W29" s="29" t="n"/>
    </row>
    <row r="30" ht="14.25" customHeight="1" s="16">
      <c r="B30" s="32" t="n"/>
    </row>
    <row r="31" ht="14.25" customHeight="1" s="16">
      <c r="B31" s="32" t="n"/>
      <c r="G31" s="32" t="n"/>
    </row>
    <row r="32" ht="14.25" customHeight="1" s="16">
      <c r="B32" s="32" t="n"/>
      <c r="G32" s="32" t="n"/>
    </row>
    <row r="33" ht="14.25" customHeight="1" s="16">
      <c r="B33" s="32" t="n"/>
      <c r="G33" s="32" t="n"/>
    </row>
    <row r="34" ht="14.25" customHeight="1" s="16">
      <c r="B34" s="32" t="n"/>
      <c r="G34" s="32" t="n"/>
    </row>
    <row r="35" ht="14.25" customHeight="1" s="16">
      <c r="B35" s="32" t="n"/>
      <c r="G35" s="32" t="n"/>
    </row>
    <row r="36" ht="14.25" customHeight="1" s="16">
      <c r="B36" s="32" t="n"/>
      <c r="G36" s="32" t="n"/>
    </row>
    <row r="37" ht="14.25" customHeight="1" s="16">
      <c r="B37" s="32" t="n"/>
    </row>
    <row r="38" ht="14.25" customHeight="1" s="16">
      <c r="B38" s="32" t="n"/>
    </row>
    <row r="39" ht="14.25" customHeight="1" s="16">
      <c r="B39" s="32" t="n"/>
    </row>
  </sheetData>
  <sheetProtection selectLockedCells="1" selectUnlockedCells="0" algorithmName="SHA-512" sheet="1" objects="1" insertRows="0" insertHyperlinks="1" autoFilter="1" scenarios="1" formatColumns="0" deleteColumns="1" insertColumns="1" pivotTables="1" deleteRows="0" formatCells="0" saltValue="uq7tf/aez4+adURQiHXj1g==" formatRows="0" sort="1" spinCount="100000" hashValue="5OIk9NT/l72X9O37hLkmuPoe78vkRiP53QMM8hUhbHcf6SLSob7Tx4x2xW4Zf0lUb+yD1Pf3fdMYKkCAvz674g=="/>
  <mergeCells count="4">
    <mergeCell ref="A3:A4"/>
    <mergeCell ref="B3:B4"/>
    <mergeCell ref="C3:L3"/>
    <mergeCell ref="M3:M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Victor Rodrigo Galaz Silva</dc:creator>
  <dc:language xmlns:dc="http://purl.org/dc/elements/1.1/">en-US</dc:language>
  <dcterms:created xmlns:dcterms="http://purl.org/dc/terms/" xmlns:xsi="http://www.w3.org/2001/XMLSchema-instance" xsi:type="dcterms:W3CDTF">2018-02-12T12:05:26Z</dcterms:created>
  <dcterms:modified xmlns:dcterms="http://purl.org/dc/terms/" xmlns:xsi="http://www.w3.org/2001/XMLSchema-instance" xsi:type="dcterms:W3CDTF">2026-10-15T02:14:51Z</dcterms:modified>
  <cp:revision>3</cp:revision>
</cp:coreProperties>
</file>